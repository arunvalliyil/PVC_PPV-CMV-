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amr\ec\proj\sttd\XPV_Projects\Server\Pontevecchio (PVC)\DIO-DVM Map\"/>
    </mc:Choice>
  </mc:AlternateContent>
  <xr:revisionPtr revIDLastSave="0" documentId="8_{D233AC01-538C-428D-AD87-4201A56C8586}" xr6:coauthVersionLast="45" xr6:coauthVersionMax="45" xr10:uidLastSave="{00000000-0000-0000-0000-000000000000}"/>
  <bookViews>
    <workbookView xWindow="57480" yWindow="45" windowWidth="29040" windowHeight="15840" activeTab="1" xr2:uid="{00000000-000D-0000-FFFF-FFFF00000000}"/>
  </bookViews>
  <sheets>
    <sheet name="Change_Log" sheetId="3" r:id="rId1"/>
    <sheet name="DIO" sheetId="1" r:id="rId2"/>
    <sheet name="DVM" sheetId="2" r:id="rId3"/>
    <sheet name="PPV_Header" sheetId="5" r:id="rId4"/>
    <sheet name="SQIB_QSH" sheetId="6" r:id="rId5"/>
    <sheet name="MB_QSH" sheetId="7" r:id="rId6"/>
    <sheet name="STDIO_J1B1_2x50" sheetId="8" r:id="rId7"/>
    <sheet name="STDIO_J1B2_2x60" sheetId="9" r:id="rId8"/>
    <sheet name="Help_RevInfo" sheetId="4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2" l="1"/>
  <c r="B7" i="2"/>
  <c r="B8" i="2"/>
  <c r="B9" i="2"/>
  <c r="B10" i="2"/>
  <c r="B11" i="2"/>
  <c r="B12" i="2"/>
  <c r="B14" i="2"/>
  <c r="B15" i="2"/>
  <c r="B16" i="2"/>
  <c r="B17" i="2"/>
  <c r="B18" i="2"/>
  <c r="B19" i="2"/>
  <c r="B20" i="2"/>
  <c r="B21" i="2"/>
  <c r="B23" i="2"/>
  <c r="B24" i="2"/>
  <c r="B25" i="2"/>
  <c r="B26" i="2"/>
  <c r="B27" i="2"/>
  <c r="B28" i="2"/>
  <c r="B29" i="2"/>
  <c r="B30" i="2"/>
  <c r="B5" i="2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" i="1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2" i="7"/>
  <c r="E3" i="7"/>
  <c r="E4" i="7"/>
  <c r="E5" i="7"/>
  <c r="E6" i="7"/>
  <c r="E7" i="7"/>
  <c r="E8" i="7"/>
  <c r="E1" i="7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3" i="6"/>
  <c r="E4" i="6"/>
  <c r="E5" i="6"/>
  <c r="E6" i="6"/>
  <c r="E7" i="6"/>
  <c r="E8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2" i="6"/>
  <c r="F2" i="6"/>
  <c r="E2" i="6"/>
  <c r="D2" i="6"/>
  <c r="C2" i="6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" i="5"/>
  <c r="B4" i="5"/>
  <c r="B5" i="5"/>
  <c r="B6" i="5"/>
  <c r="B7" i="5"/>
  <c r="B8" i="5"/>
  <c r="B9" i="5"/>
  <c r="B10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6" i="5"/>
  <c r="K7" i="5"/>
  <c r="K8" i="5"/>
  <c r="K9" i="5"/>
  <c r="K10" i="5"/>
  <c r="K11" i="5"/>
  <c r="K12" i="5"/>
  <c r="K13" i="5"/>
  <c r="K14" i="5"/>
  <c r="K15" i="5"/>
  <c r="K3" i="5"/>
  <c r="K4" i="5"/>
  <c r="K5" i="5"/>
  <c r="K2" i="5"/>
  <c r="B2" i="5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C3" i="7"/>
  <c r="C2" i="7"/>
  <c r="C1" i="7"/>
  <c r="C2" i="3" l="1"/>
  <c r="C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Kellsie Kriegelstein</author>
  </authors>
  <commentList>
    <comment ref="C1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Name will be used as part of the DIO/DVM file name</t>
        </r>
      </text>
    </comment>
    <comment ref="C2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Automatically filled in.  Uses date from the last row of column A below.</t>
        </r>
      </text>
    </comment>
    <comment ref="C3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Automatically filled in.  Uses date from the last row of column B below.</t>
        </r>
      </text>
    </comment>
    <comment ref="C4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List motherboard version(s) that this DIO/DVM map is applicable to.  For exmaple, ParadiseHIll/RedFort FAB B and not FAB A.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Kellsie Kriegelstein</author>
    <author>Kriegelstein, Kellsie</author>
  </authors>
  <commentList>
    <comment ref="B4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The MB net name will be used if no APSE Name is provided.</t>
        </r>
      </text>
    </comment>
    <comment ref="E4" authorId="0" shapeId="0" xr:uid="{00000000-0006-0000-0100-000002000000}">
      <text>
        <r>
          <rPr>
            <sz val="9"/>
            <color indexed="81"/>
            <rFont val="Tahoma"/>
            <family val="2"/>
          </rPr>
          <t>Mode - Input, Output, or Not Used.  DIO's marked "Not Used" will not show up in end user APSE GUI.</t>
        </r>
      </text>
    </comment>
    <comment ref="G4" authorId="0" shapeId="0" xr:uid="{00000000-0006-0000-0100-000003000000}">
      <text>
        <r>
          <rPr>
            <sz val="8"/>
            <color indexed="81"/>
            <rFont val="Tahoma"/>
            <family val="2"/>
          </rPr>
          <t>Initial State onply applies to DIO's set as output.</t>
        </r>
      </text>
    </comment>
    <comment ref="H4" authorId="0" shapeId="0" xr:uid="{00000000-0006-0000-0100-000004000000}">
      <text>
        <r>
          <rPr>
            <sz val="8"/>
            <color indexed="81"/>
            <rFont val="Tahoma"/>
            <family val="2"/>
          </rPr>
          <t>True = APSE verifies DIO is low before deactuating TCU.
False = DIO isn't checked before deactuation TCU.</t>
        </r>
      </text>
    </comment>
    <comment ref="I4" authorId="1" shapeId="0" xr:uid="{00000000-0006-0000-0100-000005000000}">
      <text>
        <r>
          <rPr>
            <sz val="9"/>
            <color indexed="81"/>
            <rFont val="Tahoma"/>
            <family val="2"/>
          </rPr>
          <t xml:space="preserve">Valid entries: float, 0 - 4.6
</t>
        </r>
      </text>
    </comment>
    <comment ref="I21" authorId="1" shapeId="0" xr:uid="{00000000-0006-0000-0100-000006000000}">
      <text>
        <r>
          <rPr>
            <sz val="9"/>
            <color indexed="81"/>
            <rFont val="Tahoma"/>
            <family val="2"/>
          </rPr>
          <t>Open collector DIO's who's Vref can not change.</t>
        </r>
      </text>
    </comment>
    <comment ref="I33" authorId="1" shapeId="0" xr:uid="{00000000-0006-0000-0100-000007000000}">
      <text>
        <r>
          <rPr>
            <sz val="9"/>
            <color indexed="81"/>
            <rFont val="Tahoma"/>
            <family val="2"/>
          </rPr>
          <t>Open collector DIO's who's Vref can not change.</t>
        </r>
      </text>
    </comment>
    <comment ref="I45" authorId="1" shapeId="0" xr:uid="{00000000-0006-0000-0100-000008000000}">
      <text>
        <r>
          <rPr>
            <sz val="9"/>
            <color indexed="81"/>
            <rFont val="Tahoma"/>
            <family val="2"/>
          </rPr>
          <t>Open collector DIO's who's Vref can not change.</t>
        </r>
      </text>
    </comment>
    <comment ref="I49" authorId="1" shapeId="0" xr:uid="{00000000-0006-0000-0100-000009000000}">
      <text>
        <r>
          <rPr>
            <sz val="9"/>
            <color indexed="81"/>
            <rFont val="Tahoma"/>
            <family val="2"/>
          </rPr>
          <t>Open collector DIO's who's Vref can not change.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Kellsie Kriegelstein</author>
  </authors>
  <commentList>
    <comment ref="B4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The MB net name will be used if no APSE Name is provided.</t>
        </r>
      </text>
    </comment>
    <comment ref="G4" authorId="0" shapeId="0" xr:uid="{00000000-0006-0000-0200-000002000000}">
      <text>
        <r>
          <rPr>
            <sz val="9"/>
            <color indexed="81"/>
            <rFont val="Tahoma"/>
            <family val="2"/>
          </rPr>
          <t>Valid values: Input, Not Used</t>
        </r>
      </text>
    </comment>
    <comment ref="I4" authorId="0" shapeId="0" xr:uid="{00000000-0006-0000-0200-000003000000}">
      <text>
        <r>
          <rPr>
            <sz val="8"/>
            <color indexed="81"/>
            <rFont val="Tahoma"/>
            <family val="2"/>
          </rPr>
          <t>All units are in V.  Do not include the units.  I.e. enter "4" not "4V".  If left blank, map file will default to 0.</t>
        </r>
      </text>
    </comment>
    <comment ref="J4" authorId="0" shapeId="0" xr:uid="{00000000-0006-0000-0200-000004000000}">
      <text>
        <r>
          <rPr>
            <sz val="8"/>
            <color indexed="81"/>
            <rFont val="Tahoma"/>
            <family val="2"/>
          </rPr>
          <t>All units are in V.  Do not include the units.  I.e. enter "4" not "4V". Can be left blank if no max limit exists.</t>
        </r>
      </text>
    </comment>
    <comment ref="K4" authorId="0" shapeId="0" xr:uid="{00000000-0006-0000-0200-000005000000}">
      <text>
        <r>
          <rPr>
            <sz val="8"/>
            <color indexed="81"/>
            <rFont val="Tahoma"/>
            <family val="2"/>
          </rPr>
          <t>True = APSE verifies DVM is low before deactuating TCU.
False = DVM isn't checked before deactuation TCU.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Kriegelstein, Kellsie</author>
  </authors>
  <commentList>
    <comment ref="B12" authorId="0" shapeId="0" xr:uid="{6B185B65-9F19-4AE0-8D0D-5A8CB48FD07B}">
      <text>
        <r>
          <rPr>
            <sz val="9"/>
            <color indexed="81"/>
            <rFont val="Tahoma"/>
            <family val="2"/>
          </rPr>
          <t>Used as clock for the Thermtrip Latch on the SQIB</t>
        </r>
      </text>
    </comment>
  </commentList>
</comments>
</file>

<file path=xl/sharedStrings.xml><?xml version="1.0" encoding="utf-8"?>
<sst xmlns="http://schemas.openxmlformats.org/spreadsheetml/2006/main" count="1045" uniqueCount="504">
  <si>
    <t>Description</t>
  </si>
  <si>
    <t>Initial State</t>
  </si>
  <si>
    <t>Active H/L</t>
  </si>
  <si>
    <t>DIO Assignment</t>
  </si>
  <si>
    <t>Gain</t>
  </si>
  <si>
    <t>Min Range</t>
  </si>
  <si>
    <t>Max Range</t>
  </si>
  <si>
    <t>DVM / MFC Assignment</t>
  </si>
  <si>
    <t>MB Net Name</t>
  </si>
  <si>
    <t>Highlight in yellow changes since last rev</t>
  </si>
  <si>
    <t>DIO DVM Map Rev</t>
  </si>
  <si>
    <t>Project Name</t>
  </si>
  <si>
    <t>Last Update Date</t>
  </si>
  <si>
    <t>Date</t>
  </si>
  <si>
    <t>Description of Change</t>
  </si>
  <si>
    <t>Revision</t>
  </si>
  <si>
    <t>Changed By</t>
  </si>
  <si>
    <t>DIO DVM Map Help</t>
  </si>
  <si>
    <t>This document is to be used to define and track changes for all DIO and DVM's on an STHI Motherboard.  Once the DIO/DVM's are defined, they should be reviewed and approved by the MWG.</t>
  </si>
  <si>
    <t>DIO Tab Information</t>
  </si>
  <si>
    <t>DVM Tab Information</t>
  </si>
  <si>
    <t>The gain for all DVM's is assumed to be 1 at this point in time.  However the gain should be changed if it is known to be something else.</t>
  </si>
  <si>
    <t>Change Log Tab Information</t>
  </si>
  <si>
    <t>This tab is used to track the changes in the DIO/DVM mapping.  It also has a button near the top of the sheet that will automatically create the standardized DIO_DVM_Map.txt file that STHI test programs use.  To create the file, the project name, revision, and last revision date must be filled in.  A DIO_DVM_Map.txt file will be created in the same directory as this spread sheet and will be named "&lt;project name&gt;_DIO_DVM_Map.txt".  The revision and last update information will be in the header of the txt file.  The file will only contain the DIO's and DVM's that have a motherboard net name provided.  The net name becomes the name of the DIO or DVM.  If a different name is desired, change the MB net name to the desired name.</t>
  </si>
  <si>
    <t>DIO's with an initial state of High-Z are treated the same as high output</t>
  </si>
  <si>
    <t>DIO's 72 and 71 are connected through a buffer on the STHI MBPS2 card and therefore must always be an input.</t>
  </si>
  <si>
    <t>Template and Script Change Log</t>
  </si>
  <si>
    <t>Motherboard Version</t>
  </si>
  <si>
    <t>APSE Name</t>
  </si>
  <si>
    <t>Channel</t>
  </si>
  <si>
    <t>Grey cells should not be edited</t>
  </si>
  <si>
    <t>Column Explanations</t>
  </si>
  <si>
    <r>
      <rPr>
        <b/>
        <sz val="10"/>
        <rFont val="Arial"/>
        <family val="2"/>
      </rPr>
      <t>Active H/L</t>
    </r>
    <r>
      <rPr>
        <sz val="10"/>
        <rFont val="Arial"/>
        <family val="2"/>
      </rPr>
      <t>: Provided as information only to help users understand how to use the DIO.  It does not affect the DIO usage in any way from a STHI GUI standpoint.</t>
    </r>
  </si>
  <si>
    <r>
      <rPr>
        <b/>
        <sz val="10"/>
        <rFont val="Arial"/>
        <family val="2"/>
      </rPr>
      <t>Initial State</t>
    </r>
    <r>
      <rPr>
        <sz val="10"/>
        <rFont val="Arial"/>
        <family val="2"/>
      </rPr>
      <t>: Set's the desired initial value for DIO's configured as output</t>
    </r>
  </si>
  <si>
    <r>
      <rPr>
        <b/>
        <sz val="10"/>
        <rFont val="Arial"/>
        <family val="2"/>
      </rPr>
      <t>Description</t>
    </r>
    <r>
      <rPr>
        <sz val="10"/>
        <rFont val="Arial"/>
        <family val="2"/>
      </rPr>
      <t>: Description of DIO/DVM along with any additiona usage information provided by the DE</t>
    </r>
  </si>
  <si>
    <t>Mode</t>
  </si>
  <si>
    <r>
      <rPr>
        <b/>
        <sz val="10"/>
        <rFont val="Arial"/>
        <family val="2"/>
      </rPr>
      <t>Mode</t>
    </r>
    <r>
      <rPr>
        <sz val="10"/>
        <rFont val="Arial"/>
        <family val="2"/>
      </rPr>
      <t>: Configuration of the DIO</t>
    </r>
  </si>
  <si>
    <t>Not Used</t>
  </si>
  <si>
    <t>STDIO
Pin</t>
  </si>
  <si>
    <t>Vref Voltage</t>
  </si>
  <si>
    <t>Hi-Z</t>
  </si>
  <si>
    <t>Preliminary release by Kellsie Kriegelstein from STHI template rev 2.4</t>
  </si>
  <si>
    <t>Updated scripts to match STHI template rev 2.7</t>
  </si>
  <si>
    <r>
      <rPr>
        <b/>
        <sz val="10"/>
        <rFont val="Arial"/>
        <family val="2"/>
      </rPr>
      <t>FASE Name</t>
    </r>
    <r>
      <rPr>
        <sz val="10"/>
        <rFont val="Arial"/>
        <family val="2"/>
      </rPr>
      <t>: Vairable name used by FASE for this DIO/DVM.  If provided, this name will be used in the map file instead of the "MB Net Name"</t>
    </r>
  </si>
  <si>
    <r>
      <rPr>
        <b/>
        <sz val="10"/>
        <rFont val="Arial"/>
        <family val="2"/>
      </rPr>
      <t>STDIO DIO/DVM #</t>
    </r>
    <r>
      <rPr>
        <sz val="10"/>
        <rFont val="Arial"/>
        <family val="2"/>
      </rPr>
      <t>: DIO/DVM number that coresponds to the DIO/DVM number shown in the FASE control system</t>
    </r>
  </si>
  <si>
    <r>
      <rPr>
        <b/>
        <sz val="10"/>
        <rFont val="Arial"/>
        <family val="2"/>
      </rPr>
      <t>STDIO Pin</t>
    </r>
    <r>
      <rPr>
        <sz val="10"/>
        <rFont val="Arial"/>
        <family val="2"/>
      </rPr>
      <t>: Pin number for the DIO/DVM on the STDIO connector</t>
    </r>
  </si>
  <si>
    <r>
      <rPr>
        <b/>
        <sz val="10"/>
        <rFont val="Arial"/>
        <family val="2"/>
      </rPr>
      <t>Vref Voltage</t>
    </r>
    <r>
      <rPr>
        <sz val="10"/>
        <rFont val="Arial"/>
        <family val="2"/>
      </rPr>
      <t>: cross over voltage used by Fase to determine if a DIO is logic high or logic low</t>
    </r>
  </si>
  <si>
    <r>
      <rPr>
        <b/>
        <sz val="10"/>
        <rFont val="Arial"/>
        <family val="2"/>
      </rPr>
      <t>MB Net Name</t>
    </r>
    <r>
      <rPr>
        <sz val="10"/>
        <rFont val="Arial"/>
        <family val="2"/>
      </rPr>
      <t>: Net name connected to the DIO/DVM.  If no "FASE Name" is provided, this name will show up in the map file as the DIO/DVM name.</t>
    </r>
  </si>
  <si>
    <t>Started work on DVM's. Deleted all but 1 DVM array.</t>
  </si>
  <si>
    <t>STDIO Pin</t>
  </si>
  <si>
    <t>Type</t>
  </si>
  <si>
    <t>Single</t>
  </si>
  <si>
    <t>Diff</t>
  </si>
  <si>
    <t>- Corrected DUT Power check variable to be all upper-case
- Added button to open map file location
- Left status bar message visible after creating a file</t>
  </si>
  <si>
    <t>J1B2.9</t>
  </si>
  <si>
    <t>J1B2.13</t>
  </si>
  <si>
    <t>J1B2.15</t>
  </si>
  <si>
    <t>J1B2.17</t>
  </si>
  <si>
    <t>J1B2.19</t>
  </si>
  <si>
    <t>J1B2.21</t>
  </si>
  <si>
    <t>J1B2.23</t>
  </si>
  <si>
    <t>J1B2.27</t>
  </si>
  <si>
    <t>J1B2.29</t>
  </si>
  <si>
    <t>J1B2.31</t>
  </si>
  <si>
    <t>J1B2.33</t>
  </si>
  <si>
    <t>J1B2.35</t>
  </si>
  <si>
    <t>J1B2.37</t>
  </si>
  <si>
    <t>J1B2.39</t>
  </si>
  <si>
    <t>J1B2.41</t>
  </si>
  <si>
    <t>J1B2.45</t>
  </si>
  <si>
    <t>J1B2.49</t>
  </si>
  <si>
    <t>J1B2.51</t>
  </si>
  <si>
    <t>J1B2.53</t>
  </si>
  <si>
    <t>J1B2.55</t>
  </si>
  <si>
    <t>J1B2.94</t>
  </si>
  <si>
    <t>J1B2.98</t>
  </si>
  <si>
    <t>J1B2.102</t>
  </si>
  <si>
    <t>J1B2.106</t>
  </si>
  <si>
    <t>J1B2.110</t>
  </si>
  <si>
    <t>J1B2.114</t>
  </si>
  <si>
    <t>J1B2.118</t>
  </si>
  <si>
    <t>J1B2.59</t>
  </si>
  <si>
    <t>J1B2.61</t>
  </si>
  <si>
    <t>J1B2.63</t>
  </si>
  <si>
    <t>J1B2.65</t>
  </si>
  <si>
    <t>J1B1.1</t>
  </si>
  <si>
    <t>J1B1.3</t>
  </si>
  <si>
    <t>J1B1.5</t>
  </si>
  <si>
    <t>J1B1.7</t>
  </si>
  <si>
    <t>J1B1.9</t>
  </si>
  <si>
    <t>J1B1.11</t>
  </si>
  <si>
    <t>J1B1.13</t>
  </si>
  <si>
    <t>J1B1.15</t>
  </si>
  <si>
    <t>J1B1.19</t>
  </si>
  <si>
    <t>J1B1.21</t>
  </si>
  <si>
    <t>J1B1.23</t>
  </si>
  <si>
    <t>J1B1.25</t>
  </si>
  <si>
    <t>J1B1.27</t>
  </si>
  <si>
    <t>J1B1.29</t>
  </si>
  <si>
    <t>J1B1.31</t>
  </si>
  <si>
    <t>J1B1.33</t>
  </si>
  <si>
    <t>J1B1.37</t>
  </si>
  <si>
    <t>J1B1.39</t>
  </si>
  <si>
    <t>J1B1.41</t>
  </si>
  <si>
    <t>J1B1.43</t>
  </si>
  <si>
    <t>J1B2.90</t>
  </si>
  <si>
    <t>J1B2.69</t>
  </si>
  <si>
    <t>J1B2.71</t>
  </si>
  <si>
    <t>J1B2.75</t>
  </si>
  <si>
    <t>J1B2.77</t>
  </si>
  <si>
    <t>J1B2.81</t>
  </si>
  <si>
    <t>J1B2.83</t>
  </si>
  <si>
    <t>J1B2.87</t>
  </si>
  <si>
    <t>J1B2.2</t>
  </si>
  <si>
    <t>J1B2.4</t>
  </si>
  <si>
    <t>J1B2.8</t>
  </si>
  <si>
    <t>J1B2.10</t>
  </si>
  <si>
    <t>J1B2.14</t>
  </si>
  <si>
    <t>J1B2.16</t>
  </si>
  <si>
    <t>J1B2.20</t>
  </si>
  <si>
    <t>J1B2.22</t>
  </si>
  <si>
    <t>J1B1.2</t>
  </si>
  <si>
    <t>J1B1.8</t>
  </si>
  <si>
    <t>J1B1.10</t>
  </si>
  <si>
    <t>J1B1.14</t>
  </si>
  <si>
    <t>J1B1.16</t>
  </si>
  <si>
    <t>J1B1.20</t>
  </si>
  <si>
    <t>J1B1.22</t>
  </si>
  <si>
    <t>DO NOT USE: AD1_AUX for EDM/Shorts</t>
  </si>
  <si>
    <t>DO NOT USE: AD2_AUX for EDM/Shorts</t>
  </si>
  <si>
    <t>J1B2.69/71</t>
  </si>
  <si>
    <t>J1B2.75/77</t>
  </si>
  <si>
    <t>J1B2.81/83</t>
  </si>
  <si>
    <t>J1B2.2/4</t>
  </si>
  <si>
    <t>J1B2.8/10</t>
  </si>
  <si>
    <t>J1B2.14/16</t>
  </si>
  <si>
    <t>J1B2.20/22</t>
  </si>
  <si>
    <t>J1B1.2/4</t>
  </si>
  <si>
    <t>J1B1.8/10</t>
  </si>
  <si>
    <t>J1B1.14/16</t>
  </si>
  <si>
    <t>J1B1.20/22</t>
  </si>
  <si>
    <t>Deactuate Check</t>
  </si>
  <si>
    <t>- Added DVM boolean column for Deactuate Check
- Updated macro's to support &lt;DeactuateCheck&gt; DVM tag in XML
- Removed  &lt;IsFASEMap&gt; and added &lt;MapHWType&gt;. Hardcoded map type to STDIO</t>
  </si>
  <si>
    <t>Control System</t>
  </si>
  <si>
    <t>Deactuate Threshold</t>
  </si>
  <si>
    <t>- Added Deactuate Check to every DIO/DVM entry
- Added Deactuate threshold to DVM entries
- Removed DUT Power Check from "Change_Log" tab as each DIO/DVM has it's own check
- Added Control System selection to "Change_Log". Used in XML as MapHWType.</t>
  </si>
  <si>
    <t>STDIO Net</t>
  </si>
  <si>
    <t>J1B2.89</t>
  </si>
  <si>
    <t>J1B2.87/89</t>
  </si>
  <si>
    <t>AD1_IN0_DP</t>
  </si>
  <si>
    <t>AD1_IN0_DN</t>
  </si>
  <si>
    <t>AD1_IN1_DP</t>
  </si>
  <si>
    <t>AD1_IN1_DN</t>
  </si>
  <si>
    <t>AD1_IN2_DP</t>
  </si>
  <si>
    <t>AD1_IN2_DN</t>
  </si>
  <si>
    <t>AD1_IN3_DP</t>
  </si>
  <si>
    <t>AD1_IN3_DN</t>
  </si>
  <si>
    <t>AD2_IN0_DP</t>
  </si>
  <si>
    <t>AD2_IN0_DN</t>
  </si>
  <si>
    <t>AD2_IN1_DP</t>
  </si>
  <si>
    <t>AD2_IN1_DN</t>
  </si>
  <si>
    <t>AD2_IN2_DP</t>
  </si>
  <si>
    <t>AD2_IN2_DN</t>
  </si>
  <si>
    <t>AD2_IN3_DP</t>
  </si>
  <si>
    <t>AD2_IN3_DN</t>
  </si>
  <si>
    <t>AD3_IN0_DP</t>
  </si>
  <si>
    <t>AD3_IN0_DN</t>
  </si>
  <si>
    <t>AD3_IN1_DP</t>
  </si>
  <si>
    <t>AD3_IN1_DN</t>
  </si>
  <si>
    <t>AD3_IN2_DP</t>
  </si>
  <si>
    <t>AD3_IN2_DN</t>
  </si>
  <si>
    <t>AD3_IN3_DP</t>
  </si>
  <si>
    <t>AD3_IN3_DN</t>
  </si>
  <si>
    <t>- Change boolean outputs to lower case for deactuate check and hidden</t>
  </si>
  <si>
    <t>J1B1.4</t>
  </si>
  <si>
    <t>- Set default deactuation threshold to 0.2 if none is entered in spreadsheet
- Modified DIO so that "Open Collector" is not a mode option. Added statement to Vref level for open collectors showing that OC DIO's can not have their vref changed.
- Corrected DVM ch 19 pin</t>
  </si>
  <si>
    <t>-Corrected code to correctly put description into the DIO XML</t>
  </si>
  <si>
    <t>- Corrected macro so that it properaly captured control system type (MapHWType)</t>
  </si>
  <si>
    <t>- Check's DIO's and ensures only 1 DIO has Deactuate Check = TRUE
- Removed DeactuateCheck from DIO XML schema
- Added back DutPowerDIOChannelName for DIO with DeactuateCheck set to TRUE
- XML now shows revision information from Change_Log tab</t>
  </si>
  <si>
    <t>FAST</t>
  </si>
  <si>
    <t>- Added HotSocket check and threshhold to DVM tab and to XML file</t>
  </si>
  <si>
    <t>HotSocket Check</t>
  </si>
  <si>
    <t>HotSocket Threshold</t>
  </si>
  <si>
    <t>-Corrected script when creating XML file so that comment section is closed correctly</t>
  </si>
  <si>
    <t>- Set default HotSocketThresholdLimit to 0.3 if none is entered in spreadsheet</t>
  </si>
  <si>
    <t>PVC_2T</t>
  </si>
  <si>
    <t>Rudy</t>
  </si>
  <si>
    <t>Copy to new DIO/DVM template from PVC DIO/DVM map ver 0.92</t>
  </si>
  <si>
    <t>Milo</t>
  </si>
  <si>
    <t>First draft DIO/DVM map for PVC-2T</t>
  </si>
  <si>
    <t>DIO assignment updates for DR0.3</t>
  </si>
  <si>
    <t>Updates as of DR0.6</t>
  </si>
  <si>
    <t>PPV header re-map to accmodate SPEED_CONFIG, other fixes, ready for DR0.9</t>
  </si>
  <si>
    <t>Check connection with schematic PVC2T_RVP_PPO_FAB1_SCH_REV0p92_WW31p4.pdf. Change DIO41, DIO42 to Input from output. Set DIO39 to output.</t>
  </si>
  <si>
    <t>Fixing limit on DVM channel 2 and 3 to 5.5V and 3.0V</t>
  </si>
  <si>
    <t>STDIO SQIB to WC MB Connection:</t>
  </si>
  <si>
    <t>STDIO SQIB to PVC-2T Connection (10/26/20):</t>
  </si>
  <si>
    <t>Direction 
(W.R.T PVC RVP)</t>
  </si>
  <si>
    <t>Voltage Level</t>
  </si>
  <si>
    <t>MB Net</t>
  </si>
  <si>
    <t>QSH-030</t>
  </si>
  <si>
    <t>Voltage level</t>
  </si>
  <si>
    <t>SQIB Net</t>
  </si>
  <si>
    <t>DIO Voltage (V)</t>
  </si>
  <si>
    <t>QSH-Odd pin</t>
  </si>
  <si>
    <t>QSH-Even pin</t>
  </si>
  <si>
    <t>Connect to pin 60</t>
  </si>
  <si>
    <t>P3V3_AUX_PPV</t>
  </si>
  <si>
    <t>3.3V</t>
  </si>
  <si>
    <t>Output</t>
  </si>
  <si>
    <t>QSH_PIN60</t>
  </si>
  <si>
    <t>single</t>
  </si>
  <si>
    <t>Input</t>
  </si>
  <si>
    <t>EV_GPU0_MEMHOT_N</t>
  </si>
  <si>
    <t>EV_P12V_SYS</t>
  </si>
  <si>
    <t>12V</t>
  </si>
  <si>
    <t>DIO_OC_16</t>
  </si>
  <si>
    <t>EV_GPU01_PMAX_EVENT_N</t>
  </si>
  <si>
    <t>EV_P5V</t>
  </si>
  <si>
    <t>DIO_OC_17</t>
  </si>
  <si>
    <t>H_CD01_SPEED_CONFIG_STRAP_R</t>
  </si>
  <si>
    <t>EV_PVPP</t>
  </si>
  <si>
    <t>2.5V</t>
  </si>
  <si>
    <t>DIO_34</t>
  </si>
  <si>
    <t>NC_PPV_IO09</t>
  </si>
  <si>
    <t>GND</t>
  </si>
  <si>
    <t>DIO_35</t>
  </si>
  <si>
    <t>EV_AMC_BOOTLOADER_EN_N</t>
  </si>
  <si>
    <t>EV_P1V8_VCCFA_EHV</t>
  </si>
  <si>
    <t>1.8V</t>
  </si>
  <si>
    <t>DIO_36</t>
  </si>
  <si>
    <t>EV_GPU01_LVC3_CXL_MODE</t>
  </si>
  <si>
    <t>EV_P1V8_VCCFA_EHV_FIVRA</t>
  </si>
  <si>
    <t>DIO_37</t>
  </si>
  <si>
    <t>EV_LVC3_GPU0_RESETOUT_R_N</t>
  </si>
  <si>
    <t>EV_P0V75_VCCANR_VDD_CD0</t>
  </si>
  <si>
    <t>0.75V</t>
  </si>
  <si>
    <t>DIO_38</t>
  </si>
  <si>
    <t>EV_MFG_MODE_N</t>
  </si>
  <si>
    <t>EV_P0V75_VCCANR_VDD_CD1</t>
  </si>
  <si>
    <t>DIO_39</t>
  </si>
  <si>
    <t>EV_RST_GPU01_PERST_N</t>
  </si>
  <si>
    <t>DIO_OC_40</t>
  </si>
  <si>
    <t>EV_GPU01_PUNIT_CATERR_R_N</t>
  </si>
  <si>
    <t>EV_P0V75_VCCANR_IO_CD0</t>
  </si>
  <si>
    <t>DIO_OC_41</t>
  </si>
  <si>
    <t>EV_AMC_FBRK_N</t>
  </si>
  <si>
    <t>EV_P0V75_VCCANR_IO_CD1</t>
  </si>
  <si>
    <t>DIO_OC_42</t>
  </si>
  <si>
    <t>EV_GPU01_THERMTRIP_R_N</t>
  </si>
  <si>
    <t>EV_P0V85_VCCANR_DIG_CD0</t>
  </si>
  <si>
    <t>0.85V</t>
  </si>
  <si>
    <t>DIO_OC_43</t>
  </si>
  <si>
    <t>EV_P0V85_VCCANR_DIG_CD1</t>
  </si>
  <si>
    <t>P3V3_EV_PPV_BLT</t>
  </si>
  <si>
    <t>Bi-Directional</t>
  </si>
  <si>
    <t>EV_SMBUS_PPV_BLT_SDA</t>
  </si>
  <si>
    <t>EV_PVCCINFAON</t>
  </si>
  <si>
    <t>1.0V</t>
  </si>
  <si>
    <t>TBD</t>
  </si>
  <si>
    <t>SMB SDA</t>
  </si>
  <si>
    <t>EV_SMBUS_PPV_BLT_SCL</t>
  </si>
  <si>
    <t>EV_PVCCFUSE</t>
  </si>
  <si>
    <t>SMB CLK</t>
  </si>
  <si>
    <t>EV_SMB_SYSTEM_SDA</t>
  </si>
  <si>
    <t>EV_VSENSE_PVCCIN_CPU0_SKT_VSEN</t>
  </si>
  <si>
    <t>?</t>
  </si>
  <si>
    <t>single -&gt;</t>
  </si>
  <si>
    <t>EV_SMB_SYSTEM_SCL</t>
  </si>
  <si>
    <t>EV_PPV_PVCCIN_CPU0</t>
  </si>
  <si>
    <t>0V</t>
  </si>
  <si>
    <t>NC_PPV_IO39</t>
  </si>
  <si>
    <t>NC_PPV_IO41</t>
  </si>
  <si>
    <t>EV_P0V85_VCCANR_MDFI_CD0</t>
  </si>
  <si>
    <t>EV_P0V85_VCCANR_MDFI_CD1</t>
  </si>
  <si>
    <t>NC_PPV_IO45</t>
  </si>
  <si>
    <t>EV_PVCCIN0</t>
  </si>
  <si>
    <t>NC_PPV_IO47</t>
  </si>
  <si>
    <t>EV_PVCCIN1</t>
  </si>
  <si>
    <t>NC_PPV_IO49</t>
  </si>
  <si>
    <t>NC_PPV_IO51</t>
  </si>
  <si>
    <t>EV_GPU0_EDMRES_0_R</t>
  </si>
  <si>
    <t>EDM_CH0</t>
  </si>
  <si>
    <t>EV_GPU1_EDMRES_0_R</t>
  </si>
  <si>
    <t>EV_GPU0_EDMRES_8_R</t>
  </si>
  <si>
    <t>EDM_CH2</t>
  </si>
  <si>
    <t>EV_GPU1_EDMRES_8_R</t>
  </si>
  <si>
    <t>EV_CD0_EDM_1_R</t>
  </si>
  <si>
    <t>EDM_CH1</t>
  </si>
  <si>
    <t>EV_CD1_EDM_1_R</t>
  </si>
  <si>
    <t>EV_CD0_EDM_0_R</t>
  </si>
  <si>
    <t>EDM_CH3</t>
  </si>
  <si>
    <t>EV_CD1_EDM_0_R</t>
  </si>
  <si>
    <t>Connect to pin 1</t>
  </si>
  <si>
    <t>Pin</t>
  </si>
  <si>
    <t>Net</t>
  </si>
  <si>
    <t>J1B1 Pin</t>
  </si>
  <si>
    <t>STDIO J1B1 Net</t>
  </si>
  <si>
    <t>J1B2 Pin</t>
  </si>
  <si>
    <t>STDIO J1B2 Net</t>
  </si>
  <si>
    <t>Notes</t>
  </si>
  <si>
    <t>QSH.PIN1</t>
  </si>
  <si>
    <t>DIO_HDR_OC_16</t>
  </si>
  <si>
    <t>P12V_PSU_MB</t>
  </si>
  <si>
    <t>DIO_HDR_OC_17</t>
  </si>
  <si>
    <t>DIO_HDR_34</t>
  </si>
  <si>
    <t>DIO_HDR_35</t>
  </si>
  <si>
    <t>DIO_HDR_36</t>
  </si>
  <si>
    <t>DIO_HDR_37</t>
  </si>
  <si>
    <t>DIO_HDR_38</t>
  </si>
  <si>
    <t>DIO_HDR_39</t>
  </si>
  <si>
    <t>DIO_HDR_OC_40</t>
  </si>
  <si>
    <t>DIO_HDR_OC_41</t>
  </si>
  <si>
    <t>DIO_HDR_OC_42</t>
  </si>
  <si>
    <t>DIO_HDR_OC_43</t>
  </si>
  <si>
    <t>3P3V_8A_BLT_3P3V</t>
  </si>
  <si>
    <t>DUT_SMB0_DAT</t>
  </si>
  <si>
    <t>DUT_SMB0_CLK</t>
  </si>
  <si>
    <t>DUT_SMB2_DAT</t>
  </si>
  <si>
    <t>DUT_SMB2_CLK</t>
  </si>
  <si>
    <t>DUT_SMB3_DAT</t>
  </si>
  <si>
    <t>DUT_SMB3_CLK</t>
  </si>
  <si>
    <t>DUT_SPI1_CLK</t>
  </si>
  <si>
    <t>DUT_SPI1_CS#</t>
  </si>
  <si>
    <t>DUT_SPI1_MOSI</t>
  </si>
  <si>
    <t>DUT_SPI1_MISO</t>
  </si>
  <si>
    <t>DUT_EDM_CH0_DP</t>
  </si>
  <si>
    <t>DUT_EDM_CH2_DP</t>
  </si>
  <si>
    <t>DUT_EDM_CH0_DVM_DN</t>
  </si>
  <si>
    <t>DUT_EDM_CH2_DN</t>
  </si>
  <si>
    <t>DUT_EDM_CH1_DP</t>
  </si>
  <si>
    <t>DUT_EDM_CH3_DP</t>
  </si>
  <si>
    <t>DUT_EDM_CH1_DVM_DN</t>
  </si>
  <si>
    <t>DUT_EDM_CH3_DN</t>
  </si>
  <si>
    <t>QSH.PIN60</t>
  </si>
  <si>
    <t>PPV_CONN_IO1</t>
  </si>
  <si>
    <t>P3V3_AUX</t>
  </si>
  <si>
    <t>P12V_SYS</t>
  </si>
  <si>
    <t>P5V</t>
  </si>
  <si>
    <t>EV_CD01_SPEED_CONFIG_STRAP_R</t>
  </si>
  <si>
    <t>VPP</t>
  </si>
  <si>
    <t>VCCFA_EHV</t>
  </si>
  <si>
    <t>VCCFA_EHV_FIVRA</t>
  </si>
  <si>
    <t>VCCANR_VDD0</t>
  </si>
  <si>
    <t>VCCANR_VDD1</t>
  </si>
  <si>
    <t>VCCANR_IO0</t>
  </si>
  <si>
    <t>VCCANR_IO1</t>
  </si>
  <si>
    <t>VCCANR_DIG_CD0</t>
  </si>
  <si>
    <t>VCCANR_DIG_CD1</t>
  </si>
  <si>
    <t>SOC Power rail</t>
  </si>
  <si>
    <t>VCCFA_1V5</t>
  </si>
  <si>
    <t>VCCANR_VDD [0:1]</t>
  </si>
  <si>
    <t>VCCINFAON</t>
  </si>
  <si>
    <t>VCCANR_IO [0:1]</t>
  </si>
  <si>
    <t>VCCANR_DIG_CD0 [0:1]</t>
  </si>
  <si>
    <t>P12V_AUX_CONN</t>
  </si>
  <si>
    <t>1.5V</t>
  </si>
  <si>
    <t>VCCFUSE</t>
  </si>
  <si>
    <t>VCCANR_MDFI [0:1]</t>
  </si>
  <si>
    <t>1.4V</t>
  </si>
  <si>
    <t>VCCFUSEHV</t>
  </si>
  <si>
    <t>2.8V</t>
  </si>
  <si>
    <t>VCCIN [0:1]</t>
  </si>
  <si>
    <t>VCCANR_MDFI0</t>
  </si>
  <si>
    <t>Differential</t>
  </si>
  <si>
    <t>Other voltage rail</t>
  </si>
  <si>
    <t>5V</t>
  </si>
  <si>
    <t>VCCANR_MDFI1</t>
  </si>
  <si>
    <t>VCCIN0</t>
  </si>
  <si>
    <t>VCCIN1</t>
  </si>
  <si>
    <t>PPV_CONN_IO60</t>
  </si>
  <si>
    <t>TP_DIO_HDR_32</t>
  </si>
  <si>
    <t>TP_DIO_HDR_33</t>
  </si>
  <si>
    <t>2X50_CABLE_DET0_P6</t>
  </si>
  <si>
    <t>DUT_SHORT_DET_CH1_R_I_SRC</t>
  </si>
  <si>
    <t>DUT_SHORT_DET_CH1_DVM_SRC</t>
  </si>
  <si>
    <t>DIO_HDR_OC_44</t>
  </si>
  <si>
    <t>DUT_SHORT_DET_CH1_DVM_RET</t>
  </si>
  <si>
    <t>DIO_HDR_OC_45</t>
  </si>
  <si>
    <t>DUT_SHORT_DET_CH1_R_I_RET</t>
  </si>
  <si>
    <t>DIO_HDR_OC_46</t>
  </si>
  <si>
    <t>DIO_HDR_OC_47</t>
  </si>
  <si>
    <t>DIO_HDR_48</t>
  </si>
  <si>
    <t>DIO_HDR_49</t>
  </si>
  <si>
    <t>TP_DIO_HDR_50</t>
  </si>
  <si>
    <t>TP_DIO_HDR_51</t>
  </si>
  <si>
    <t>TP_DUT_SMB4_DAT</t>
  </si>
  <si>
    <t>TP_DUT_SMB4_CLK</t>
  </si>
  <si>
    <t>TP_DUT_SMB5_DAT</t>
  </si>
  <si>
    <t>TP_DUT_SPI1_CLK</t>
  </si>
  <si>
    <t>TP_DUT_SMB5_CLK</t>
  </si>
  <si>
    <t>TP_DUT_SPI1_CS#</t>
  </si>
  <si>
    <t>TP_DUT_SMB6_DAT</t>
  </si>
  <si>
    <t>MB_EDM2_R</t>
  </si>
  <si>
    <t>TP_DUT_SMB6_CLK</t>
  </si>
  <si>
    <t>EDM2_ISRC_DN_R</t>
  </si>
  <si>
    <t>TP_DUT_SMB7_DAT</t>
  </si>
  <si>
    <t>MB_EDM3_R</t>
  </si>
  <si>
    <t>TP_DUT_SMB7_CLK</t>
  </si>
  <si>
    <t>EDM3_ISRC_DN_R</t>
  </si>
  <si>
    <t>TP_J2_74</t>
  </si>
  <si>
    <t>TP_J2_P75</t>
  </si>
  <si>
    <t>TP_J2_76</t>
  </si>
  <si>
    <t>TP_J2_P77</t>
  </si>
  <si>
    <t>TP_J2_78</t>
  </si>
  <si>
    <t>TP_J2_80</t>
  </si>
  <si>
    <t>TP_J2_P81</t>
  </si>
  <si>
    <t>TP_J2_82</t>
  </si>
  <si>
    <t>TP_J2_P83</t>
  </si>
  <si>
    <t>TP_DUT_SMB1_DAT</t>
  </si>
  <si>
    <t>TP_J2_P87</t>
  </si>
  <si>
    <t>TP_DUT_SMB1_CLK</t>
  </si>
  <si>
    <t>TP_DIO_HDR_14_SC_INIT_DONE_N</t>
  </si>
  <si>
    <t>5V_4A</t>
  </si>
  <si>
    <t>TP_DIO52_SW_ON_N</t>
  </si>
  <si>
    <t>TP_J2_P95</t>
  </si>
  <si>
    <t>2X50_CABLE_DET1_P97</t>
  </si>
  <si>
    <t>3P3V_8A</t>
  </si>
  <si>
    <t>TP_J2_99</t>
  </si>
  <si>
    <t>DUT_3P3V_CORE</t>
  </si>
  <si>
    <t>DUT_5V_STBY</t>
  </si>
  <si>
    <t>2X60_CABLE_DET0_P6</t>
  </si>
  <si>
    <t>TP_DIO_HDR_0</t>
  </si>
  <si>
    <t>DIO_HDR_1</t>
  </si>
  <si>
    <t>DIO_HDR_2</t>
  </si>
  <si>
    <t>DIO_HDR_3</t>
  </si>
  <si>
    <t>DIO_HDR_4</t>
  </si>
  <si>
    <t>TP_DIO_HDR_5</t>
  </si>
  <si>
    <t>TP_DIO_HDR_6</t>
  </si>
  <si>
    <t>TP_DIO_HDR_7</t>
  </si>
  <si>
    <t>TP_DIO_HDR_8</t>
  </si>
  <si>
    <t>TP_DIO_HDR_9</t>
  </si>
  <si>
    <t>DUT_SHORT_DET_CH0_R_I_SRC</t>
  </si>
  <si>
    <t>DIO_HDR_10</t>
  </si>
  <si>
    <t>DUT_SHORT_DET_CH0_DVM_SRC</t>
  </si>
  <si>
    <t>DIO_HDR_11</t>
  </si>
  <si>
    <t>DUT_SHORT_DET_CH0_DVM_RET</t>
  </si>
  <si>
    <t>DIO_HDR_12</t>
  </si>
  <si>
    <t>DUT_SHORT_DET_CH0_R_I_RET</t>
  </si>
  <si>
    <t>DIO_HDR_13</t>
  </si>
  <si>
    <t>BOARD_ID_3</t>
  </si>
  <si>
    <t>TP_DIO_HDR_14</t>
  </si>
  <si>
    <t>TP_DIO_HDR_15</t>
  </si>
  <si>
    <t>TP_DIO_HDR_OC_18</t>
  </si>
  <si>
    <t>TP_DIO_HDR_OC_19</t>
  </si>
  <si>
    <t>TP_DIO_HDR_OC_28</t>
  </si>
  <si>
    <t>TP_J3_60</t>
  </si>
  <si>
    <t>TP_DIO_HDR_OC_29</t>
  </si>
  <si>
    <t>TP_DIO_HDR_OC_30</t>
  </si>
  <si>
    <t>3P3V_8A_J1M1_64</t>
  </si>
  <si>
    <t>TP_DIO_HDR_OC_31</t>
  </si>
  <si>
    <t>3P3V_8A_J1M1_68</t>
  </si>
  <si>
    <t>3P3V_8A_J1M1_72</t>
  </si>
  <si>
    <t>TP_DUT_SPI0_CLK</t>
  </si>
  <si>
    <t>TP_DUT_SPI0_CS#</t>
  </si>
  <si>
    <t>TP_DUT_SPI0_MISO</t>
  </si>
  <si>
    <t>TP_DUT_SPI0_MOSI</t>
  </si>
  <si>
    <t>BOARD_ID_2</t>
  </si>
  <si>
    <t>TP_DIO_HDR_20</t>
  </si>
  <si>
    <t>BOARD_ID_0</t>
  </si>
  <si>
    <t>TP_DIO_HDR_21</t>
  </si>
  <si>
    <t>BOARD_ID_1</t>
  </si>
  <si>
    <t>TP_DIO_HDR_22</t>
  </si>
  <si>
    <t>TP_J3_99</t>
  </si>
  <si>
    <t>TP_DIO_HDR_23</t>
  </si>
  <si>
    <t>TP_J3_103</t>
  </si>
  <si>
    <t>TP_DIO_HDR_24</t>
  </si>
  <si>
    <t>TP_J3_107</t>
  </si>
  <si>
    <t>TP_DIO_HDR_25</t>
  </si>
  <si>
    <t>TP_J3_111</t>
  </si>
  <si>
    <t>TP_DIO_HDR_26</t>
  </si>
  <si>
    <t>TP_J3_115</t>
  </si>
  <si>
    <t>2X60_CABLE_DET1_P117</t>
  </si>
  <si>
    <t>TP_DIO_HDR_27</t>
  </si>
  <si>
    <t>TP_J3_119</t>
  </si>
  <si>
    <t>DIO VCC = 3.3V</t>
  </si>
  <si>
    <t>DIO VCC settable (3.3V)</t>
  </si>
  <si>
    <t>DIO VCC settable (3.3v/
1.8V)</t>
  </si>
  <si>
    <t>FP_NMI_BTN_N-WC</t>
  </si>
  <si>
    <t>FP_ID_BTN_N-WC</t>
  </si>
  <si>
    <t>FP_RST_BTN_N-WC</t>
  </si>
  <si>
    <t>FP_BMC_PWR_BTN_N-WC</t>
  </si>
  <si>
    <t>J8K1.14 - Wilson City to J1D2.5 - SQIB - has 10K pull up to P3V3_AUX - Used LOW -&gt; HI-Z</t>
  </si>
  <si>
    <t>J8K1.16 - Wilson City to J1D1.6 - SQIB - has 10K pull up to P3V3_AUX - Use LOW -&gt; HI-Z</t>
  </si>
  <si>
    <t>J8K1.20 - Wilson City to J1D2.7 - SQIB</t>
  </si>
  <si>
    <t>J8K1.24 - Wilson City to J1D2.8 - SQIB</t>
  </si>
  <si>
    <t>Low</t>
  </si>
  <si>
    <t>Low = 56G, High = 90G</t>
  </si>
  <si>
    <t>Low = PCIE Bus, High = CXL Bus, but resistor stuffing look like not correct R9G3 and R9B2</t>
  </si>
  <si>
    <t>THERMTRIP_A_CLR</t>
  </si>
  <si>
    <t>THERMTRIP_B_CLR</t>
  </si>
  <si>
    <t>Only to SQIB to clear Thermtrip latch</t>
  </si>
  <si>
    <t>P3V3_WC</t>
  </si>
  <si>
    <t>P5V_AUX_WC</t>
  </si>
  <si>
    <t>P5V_WC</t>
  </si>
  <si>
    <t>P3V3_AUX_WC</t>
  </si>
  <si>
    <t>J8K1.22 - Wilson City</t>
  </si>
  <si>
    <t>J8K1.21 - Wilson City</t>
  </si>
  <si>
    <t>J8K1.37 - Wilson City</t>
  </si>
  <si>
    <t>J8K1.32 - Wilson City</t>
  </si>
  <si>
    <t>Change DIO40 from output to input</t>
  </si>
  <si>
    <t>High</t>
  </si>
  <si>
    <t>PVC_2T-WC</t>
  </si>
  <si>
    <t>Change DIO34 and DIO37 Initial State from Hi-Z to Low (coping error from ver 0.92)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</si>
</sst>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;@"/>
    <numFmt numFmtId="165" formatCode="0.000"/>
  </numFmts>
  <fonts count="23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i/>
      <sz val="10"/>
      <name val="Arial"/>
      <family val="2"/>
    </font>
    <font>
      <b/>
      <sz val="8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rgb="FF1F497D"/>
      <name val="Calibri"/>
      <family val="2"/>
    </font>
    <font>
      <sz val="7"/>
      <color rgb="FF000000"/>
      <name val="ArialMT"/>
    </font>
    <font>
      <sz val="9"/>
      <color rgb="FF000000"/>
      <name val="Arial"/>
      <family val="2"/>
    </font>
    <font>
      <sz val="9"/>
      <name val="Arial"/>
      <family val="2"/>
    </font>
    <font>
      <sz val="11"/>
      <color rgb="FF000000"/>
      <name val="Calibri"/>
      <family val="2"/>
    </font>
    <font>
      <sz val="9"/>
      <color rgb="FF000000"/>
      <name val="ArialMT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FFC000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175">
    <xf numFmtId="0" fontId="0" fillId="0" borderId="0" xfId="0"/>
    <xf numFmtId="0" fontId="0" fillId="0" borderId="0" xfId="0" applyAlignment="1">
      <alignment vertical="top" wrapText="1"/>
    </xf>
    <xf numFmtId="0" fontId="11" fillId="0" borderId="0" xfId="0" applyFont="1" applyAlignment="1">
      <alignment vertical="top" wrapText="1"/>
    </xf>
    <xf numFmtId="0" fontId="9" fillId="0" borderId="0" xfId="0" applyFont="1" applyAlignment="1">
      <alignment vertical="top" wrapText="1"/>
    </xf>
    <xf numFmtId="0" fontId="0" fillId="0" borderId="0" xfId="0" quotePrefix="1" applyAlignment="1">
      <alignment vertical="top" wrapText="1"/>
    </xf>
    <xf numFmtId="0" fontId="5" fillId="0" borderId="0" xfId="0" quotePrefix="1" applyFont="1" applyAlignment="1">
      <alignment vertical="top" wrapText="1"/>
    </xf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0" fontId="5" fillId="0" borderId="0" xfId="0" applyFont="1" applyProtection="1">
      <protection locked="0"/>
    </xf>
    <xf numFmtId="0" fontId="0" fillId="4" borderId="0" xfId="0" applyNumberFormat="1" applyFill="1" applyAlignment="1" applyProtection="1">
      <alignment horizontal="left"/>
    </xf>
    <xf numFmtId="14" fontId="0" fillId="4" borderId="0" xfId="0" applyNumberFormat="1" applyFill="1" applyAlignment="1" applyProtection="1">
      <alignment horizontal="left"/>
    </xf>
    <xf numFmtId="0" fontId="0" fillId="0" borderId="0" xfId="0" applyProtection="1"/>
    <xf numFmtId="0" fontId="8" fillId="0" borderId="0" xfId="0" applyFont="1" applyAlignment="1" applyProtection="1">
      <alignment horizontal="right"/>
    </xf>
    <xf numFmtId="0" fontId="8" fillId="0" borderId="1" xfId="0" applyFont="1" applyBorder="1" applyAlignment="1" applyProtection="1">
      <alignment horizontal="center"/>
    </xf>
    <xf numFmtId="0" fontId="5" fillId="0" borderId="0" xfId="0" applyFont="1" applyAlignment="1">
      <alignment vertical="top" wrapText="1"/>
    </xf>
    <xf numFmtId="0" fontId="0" fillId="5" borderId="0" xfId="0" applyFill="1" applyBorder="1" applyProtection="1">
      <protection locked="0"/>
    </xf>
    <xf numFmtId="0" fontId="3" fillId="0" borderId="0" xfId="0" applyFont="1" applyBorder="1" applyProtection="1">
      <protection locked="0"/>
    </xf>
    <xf numFmtId="0" fontId="5" fillId="0" borderId="0" xfId="0" applyFont="1" applyBorder="1" applyProtection="1">
      <protection locked="0"/>
    </xf>
    <xf numFmtId="0" fontId="5" fillId="0" borderId="0" xfId="0" applyFont="1" applyFill="1" applyBorder="1" applyProtection="1">
      <protection locked="0"/>
    </xf>
    <xf numFmtId="0" fontId="0" fillId="0" borderId="0" xfId="0" applyAlignment="1" applyProtection="1">
      <alignment horizontal="left"/>
      <protection locked="0"/>
    </xf>
    <xf numFmtId="0" fontId="5" fillId="0" borderId="0" xfId="0" applyFont="1" applyFill="1" applyBorder="1" applyAlignment="1" applyProtection="1">
      <alignment horizontal="center"/>
      <protection locked="0"/>
    </xf>
    <xf numFmtId="0" fontId="5" fillId="0" borderId="0" xfId="0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</xf>
    <xf numFmtId="0" fontId="0" fillId="0" borderId="0" xfId="0" applyBorder="1" applyProtection="1"/>
    <xf numFmtId="0" fontId="3" fillId="0" borderId="0" xfId="0" applyFont="1" applyBorder="1" applyAlignment="1" applyProtection="1">
      <alignment horizontal="center"/>
    </xf>
    <xf numFmtId="0" fontId="4" fillId="0" borderId="2" xfId="0" applyFont="1" applyBorder="1" applyAlignment="1" applyProtection="1">
      <alignment horizontal="center" wrapText="1"/>
    </xf>
    <xf numFmtId="0" fontId="0" fillId="2" borderId="0" xfId="0" applyFill="1" applyProtection="1"/>
    <xf numFmtId="0" fontId="0" fillId="2" borderId="0" xfId="0" applyFill="1" applyAlignment="1" applyProtection="1">
      <alignment horizontal="center"/>
    </xf>
    <xf numFmtId="0" fontId="0" fillId="3" borderId="0" xfId="0" applyFill="1" applyBorder="1" applyProtection="1"/>
    <xf numFmtId="0" fontId="9" fillId="5" borderId="0" xfId="0" applyFont="1" applyFill="1" applyBorder="1" applyProtection="1"/>
    <xf numFmtId="0" fontId="0" fillId="5" borderId="0" xfId="0" applyFill="1" applyBorder="1" applyProtection="1"/>
    <xf numFmtId="0" fontId="7" fillId="0" borderId="0" xfId="0" applyFont="1" applyBorder="1" applyProtection="1"/>
    <xf numFmtId="0" fontId="0" fillId="0" borderId="0" xfId="0" applyBorder="1" applyAlignment="1" applyProtection="1">
      <alignment horizontal="right"/>
      <protection locked="0"/>
    </xf>
    <xf numFmtId="0" fontId="8" fillId="0" borderId="0" xfId="0" applyFont="1" applyBorder="1" applyAlignment="1" applyProtection="1">
      <alignment horizontal="center" wrapText="1"/>
      <protection locked="0"/>
    </xf>
    <xf numFmtId="0" fontId="5" fillId="0" borderId="0" xfId="0" applyFont="1" applyFill="1" applyBorder="1" applyAlignment="1" applyProtection="1">
      <alignment wrapText="1"/>
      <protection locked="0"/>
    </xf>
    <xf numFmtId="0" fontId="8" fillId="0" borderId="2" xfId="0" applyFont="1" applyFill="1" applyBorder="1" applyAlignment="1" applyProtection="1">
      <alignment horizontal="center" wrapText="1"/>
    </xf>
    <xf numFmtId="0" fontId="0" fillId="2" borderId="0" xfId="0" applyFill="1" applyBorder="1" applyAlignment="1" applyProtection="1">
      <alignment horizontal="center"/>
    </xf>
    <xf numFmtId="0" fontId="0" fillId="0" borderId="0" xfId="0" applyBorder="1" applyAlignment="1" applyProtection="1">
      <alignment horizontal="right"/>
    </xf>
    <xf numFmtId="0" fontId="8" fillId="0" borderId="2" xfId="0" applyFont="1" applyFill="1" applyBorder="1" applyAlignment="1" applyProtection="1">
      <alignment horizontal="right" wrapText="1"/>
    </xf>
    <xf numFmtId="0" fontId="0" fillId="3" borderId="0" xfId="0" applyFill="1" applyBorder="1" applyProtection="1"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left"/>
      <protection locked="0"/>
    </xf>
    <xf numFmtId="0" fontId="9" fillId="5" borderId="0" xfId="0" applyFont="1" applyFill="1" applyBorder="1" applyProtection="1">
      <protection locked="0"/>
    </xf>
    <xf numFmtId="0" fontId="7" fillId="0" borderId="0" xfId="0" applyFont="1" applyBorder="1" applyProtection="1">
      <protection locked="0"/>
    </xf>
    <xf numFmtId="0" fontId="3" fillId="0" borderId="0" xfId="0" applyFont="1" applyBorder="1" applyAlignment="1" applyProtection="1">
      <alignment horizontal="center"/>
      <protection locked="0"/>
    </xf>
    <xf numFmtId="0" fontId="3" fillId="0" borderId="0" xfId="0" applyFont="1" applyBorder="1" applyAlignment="1" applyProtection="1">
      <alignment horizontal="left"/>
      <protection locked="0"/>
    </xf>
    <xf numFmtId="0" fontId="4" fillId="0" borderId="0" xfId="0" applyFont="1" applyAlignment="1" applyProtection="1">
      <alignment horizontal="right"/>
    </xf>
    <xf numFmtId="0" fontId="5" fillId="2" borderId="0" xfId="0" applyFont="1" applyFill="1" applyProtection="1"/>
    <xf numFmtId="0" fontId="0" fillId="0" borderId="0" xfId="0" applyAlignment="1" applyProtection="1">
      <alignment horizontal="center"/>
    </xf>
    <xf numFmtId="0" fontId="4" fillId="0" borderId="2" xfId="0" applyFont="1" applyFill="1" applyBorder="1" applyAlignment="1" applyProtection="1">
      <alignment horizontal="center" wrapText="1"/>
    </xf>
    <xf numFmtId="0" fontId="0" fillId="0" borderId="0" xfId="0" applyAlignment="1" applyProtection="1">
      <alignment vertical="top"/>
      <protection locked="0"/>
    </xf>
    <xf numFmtId="2" fontId="0" fillId="0" borderId="0" xfId="0" applyNumberFormat="1" applyAlignment="1">
      <alignment vertical="top" wrapText="1"/>
    </xf>
    <xf numFmtId="0" fontId="5" fillId="2" borderId="0" xfId="0" applyFont="1" applyFill="1" applyBorder="1" applyAlignment="1" applyProtection="1">
      <alignment horizontal="center"/>
    </xf>
    <xf numFmtId="0" fontId="3" fillId="0" borderId="0" xfId="0" applyFont="1" applyAlignment="1" applyProtection="1">
      <alignment vertical="top"/>
      <protection locked="0"/>
    </xf>
    <xf numFmtId="0" fontId="3" fillId="0" borderId="0" xfId="0" quotePrefix="1" applyFont="1" applyAlignment="1" applyProtection="1">
      <alignment vertical="top" wrapText="1"/>
      <protection locked="0"/>
    </xf>
    <xf numFmtId="2" fontId="5" fillId="0" borderId="0" xfId="0" applyNumberFormat="1" applyFont="1" applyAlignment="1">
      <alignment vertical="top" wrapText="1"/>
    </xf>
    <xf numFmtId="0" fontId="3" fillId="0" borderId="0" xfId="0" quotePrefix="1" applyFont="1" applyAlignment="1">
      <alignment vertical="top" wrapText="1"/>
    </xf>
    <xf numFmtId="0" fontId="0" fillId="0" borderId="0" xfId="0" applyFill="1" applyAlignment="1" applyProtection="1">
      <alignment horizontal="center"/>
      <protection locked="0"/>
    </xf>
    <xf numFmtId="0" fontId="3" fillId="0" borderId="0" xfId="0" applyFont="1" applyProtection="1">
      <protection locked="0"/>
    </xf>
    <xf numFmtId="0" fontId="4" fillId="0" borderId="2" xfId="0" applyFont="1" applyBorder="1" applyAlignment="1">
      <alignment horizontal="center" wrapText="1"/>
    </xf>
    <xf numFmtId="0" fontId="0" fillId="0" borderId="0" xfId="0" applyAlignment="1" applyProtection="1">
      <alignment horizontal="right"/>
      <protection locked="0"/>
    </xf>
    <xf numFmtId="0" fontId="0" fillId="5" borderId="0" xfId="0" applyFill="1" applyProtection="1"/>
    <xf numFmtId="0" fontId="0" fillId="5" borderId="0" xfId="0" applyFill="1" applyAlignment="1" applyProtection="1">
      <alignment horizontal="right"/>
    </xf>
    <xf numFmtId="0" fontId="0" fillId="5" borderId="0" xfId="0" applyFill="1" applyAlignment="1" applyProtection="1">
      <alignment horizontal="center"/>
    </xf>
    <xf numFmtId="0" fontId="0" fillId="5" borderId="0" xfId="0" applyFill="1" applyBorder="1" applyAlignment="1" applyProtection="1">
      <alignment horizontal="center"/>
    </xf>
    <xf numFmtId="0" fontId="5" fillId="6" borderId="0" xfId="0" applyFont="1" applyFill="1" applyBorder="1" applyProtection="1"/>
    <xf numFmtId="0" fontId="0" fillId="0" borderId="0" xfId="0" applyAlignment="1" applyProtection="1">
      <alignment horizontal="center" vertical="center"/>
      <protection locked="0"/>
    </xf>
    <xf numFmtId="0" fontId="3" fillId="0" borderId="0" xfId="0" quotePrefix="1" applyFont="1" applyAlignment="1" applyProtection="1">
      <alignment vertical="top"/>
      <protection locked="0"/>
    </xf>
    <xf numFmtId="0" fontId="3" fillId="0" borderId="0" xfId="0" applyFont="1" applyAlignment="1" applyProtection="1">
      <alignment vertical="top" wrapText="1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vertical="top"/>
      <protection locked="0"/>
    </xf>
    <xf numFmtId="0" fontId="4" fillId="0" borderId="0" xfId="0" applyFont="1" applyAlignment="1" applyProtection="1">
      <alignment vertical="top"/>
      <protection locked="0"/>
    </xf>
    <xf numFmtId="0" fontId="4" fillId="0" borderId="0" xfId="0" applyFont="1" applyProtection="1">
      <protection locked="0"/>
    </xf>
    <xf numFmtId="0" fontId="0" fillId="7" borderId="4" xfId="0" applyFill="1" applyBorder="1" applyAlignment="1">
      <alignment wrapText="1"/>
    </xf>
    <xf numFmtId="0" fontId="0" fillId="7" borderId="4" xfId="0" applyFill="1" applyBorder="1"/>
    <xf numFmtId="0" fontId="15" fillId="0" borderId="2" xfId="2" applyFont="1" applyBorder="1"/>
    <xf numFmtId="0" fontId="15" fillId="0" borderId="0" xfId="2" applyFont="1"/>
    <xf numFmtId="0" fontId="15" fillId="0" borderId="2" xfId="2" applyFont="1" applyBorder="1" applyAlignment="1">
      <alignment horizontal="center" wrapText="1"/>
    </xf>
    <xf numFmtId="0" fontId="15" fillId="0" borderId="2" xfId="2" applyFont="1" applyBorder="1" applyAlignment="1">
      <alignment horizontal="center"/>
    </xf>
    <xf numFmtId="0" fontId="1" fillId="0" borderId="0" xfId="2"/>
    <xf numFmtId="0" fontId="0" fillId="0" borderId="5" xfId="0" applyBorder="1"/>
    <xf numFmtId="0" fontId="1" fillId="0" borderId="6" xfId="2" applyBorder="1"/>
    <xf numFmtId="0" fontId="1" fillId="0" borderId="0" xfId="2" applyAlignment="1">
      <alignment horizontal="center"/>
    </xf>
    <xf numFmtId="0" fontId="1" fillId="0" borderId="0" xfId="2" quotePrefix="1"/>
    <xf numFmtId="0" fontId="0" fillId="0" borderId="7" xfId="0" applyBorder="1"/>
    <xf numFmtId="0" fontId="16" fillId="0" borderId="0" xfId="0" applyFont="1" applyAlignment="1">
      <alignment vertical="center"/>
    </xf>
    <xf numFmtId="0" fontId="0" fillId="8" borderId="7" xfId="0" applyFill="1" applyBorder="1"/>
    <xf numFmtId="0" fontId="3" fillId="0" borderId="7" xfId="0" applyFont="1" applyBorder="1"/>
    <xf numFmtId="0" fontId="17" fillId="0" borderId="0" xfId="0" applyFont="1"/>
    <xf numFmtId="0" fontId="16" fillId="0" borderId="0" xfId="0" applyFont="1" applyAlignment="1">
      <alignment horizontal="center" vertical="center"/>
    </xf>
    <xf numFmtId="0" fontId="3" fillId="8" borderId="7" xfId="0" applyFont="1" applyFill="1" applyBorder="1"/>
    <xf numFmtId="0" fontId="18" fillId="0" borderId="0" xfId="0" applyFont="1"/>
    <xf numFmtId="0" fontId="18" fillId="0" borderId="0" xfId="0" applyFont="1" applyAlignment="1">
      <alignment vertical="center" wrapText="1"/>
    </xf>
    <xf numFmtId="0" fontId="0" fillId="0" borderId="8" xfId="0" applyBorder="1"/>
    <xf numFmtId="0" fontId="1" fillId="0" borderId="2" xfId="2" applyBorder="1" applyAlignment="1">
      <alignment horizontal="center"/>
    </xf>
    <xf numFmtId="0" fontId="1" fillId="0" borderId="9" xfId="2" applyBorder="1"/>
    <xf numFmtId="0" fontId="0" fillId="0" borderId="10" xfId="0" applyBorder="1"/>
    <xf numFmtId="0" fontId="15" fillId="0" borderId="0" xfId="2" applyFont="1" applyAlignment="1">
      <alignment horizontal="center"/>
    </xf>
    <xf numFmtId="0" fontId="1" fillId="9" borderId="0" xfId="2" applyFill="1"/>
    <xf numFmtId="0" fontId="0" fillId="0" borderId="0" xfId="0" applyAlignment="1">
      <alignment horizontal="center"/>
    </xf>
    <xf numFmtId="0" fontId="19" fillId="0" borderId="0" xfId="0" applyFont="1" applyAlignment="1">
      <alignment horizontal="center" vertical="center" wrapText="1"/>
    </xf>
    <xf numFmtId="0" fontId="19" fillId="0" borderId="0" xfId="0" applyFont="1"/>
    <xf numFmtId="0" fontId="20" fillId="0" borderId="0" xfId="0" applyFont="1"/>
    <xf numFmtId="0" fontId="19" fillId="0" borderId="0" xfId="0" applyFont="1" applyAlignment="1">
      <alignment vertical="center" wrapText="1"/>
    </xf>
    <xf numFmtId="0" fontId="21" fillId="0" borderId="0" xfId="0" applyFont="1" applyAlignment="1">
      <alignment vertical="center"/>
    </xf>
    <xf numFmtId="0" fontId="21" fillId="10" borderId="11" xfId="0" applyFont="1" applyFill="1" applyBorder="1" applyAlignment="1">
      <alignment vertical="center"/>
    </xf>
    <xf numFmtId="0" fontId="21" fillId="10" borderId="12" xfId="0" applyFont="1" applyFill="1" applyBorder="1" applyAlignment="1">
      <alignment vertical="center"/>
    </xf>
    <xf numFmtId="0" fontId="21" fillId="8" borderId="13" xfId="0" applyFont="1" applyFill="1" applyBorder="1" applyAlignment="1">
      <alignment vertical="center"/>
    </xf>
    <xf numFmtId="0" fontId="21" fillId="0" borderId="14" xfId="0" applyFont="1" applyBorder="1" applyAlignment="1">
      <alignment vertical="center"/>
    </xf>
    <xf numFmtId="0" fontId="21" fillId="6" borderId="13" xfId="0" applyFont="1" applyFill="1" applyBorder="1" applyAlignment="1">
      <alignment vertical="center"/>
    </xf>
    <xf numFmtId="0" fontId="21" fillId="11" borderId="13" xfId="0" applyFont="1" applyFill="1" applyBorder="1" applyAlignment="1">
      <alignment vertical="center"/>
    </xf>
    <xf numFmtId="0" fontId="21" fillId="10" borderId="13" xfId="0" applyFont="1" applyFill="1" applyBorder="1" applyAlignment="1">
      <alignment vertical="center"/>
    </xf>
    <xf numFmtId="0" fontId="21" fillId="10" borderId="14" xfId="0" applyFont="1" applyFill="1" applyBorder="1" applyAlignment="1">
      <alignment vertical="center"/>
    </xf>
    <xf numFmtId="0" fontId="22" fillId="0" borderId="0" xfId="0" applyFont="1" applyAlignment="1">
      <alignment vertical="center" wrapText="1"/>
    </xf>
    <xf numFmtId="0" fontId="22" fillId="8" borderId="13" xfId="0" applyFont="1" applyFill="1" applyBorder="1" applyAlignment="1">
      <alignment vertical="center" wrapText="1"/>
    </xf>
    <xf numFmtId="0" fontId="20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1" fillId="9" borderId="0" xfId="2" applyFill="1" applyAlignment="1">
      <alignment horizontal="center"/>
    </xf>
    <xf numFmtId="0" fontId="1" fillId="0" borderId="0" xfId="2" applyFill="1"/>
    <xf numFmtId="0" fontId="1" fillId="0" borderId="15" xfId="2" applyBorder="1"/>
    <xf numFmtId="0" fontId="0" fillId="7" borderId="4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Alignment="1">
      <alignment wrapText="1"/>
    </xf>
    <xf numFmtId="0" fontId="16" fillId="9" borderId="0" xfId="0" applyFont="1" applyFill="1" applyAlignment="1">
      <alignment vertical="center"/>
    </xf>
    <xf numFmtId="0" fontId="0" fillId="0" borderId="1" xfId="0" applyBorder="1" applyProtection="1">
      <protection locked="0"/>
    </xf>
    <xf numFmtId="0" fontId="0" fillId="2" borderId="1" xfId="0" applyFill="1" applyBorder="1" applyAlignment="1" applyProtection="1">
      <alignment horizontal="center"/>
    </xf>
    <xf numFmtId="0" fontId="5" fillId="2" borderId="1" xfId="0" applyFont="1" applyFill="1" applyBorder="1" applyProtection="1"/>
    <xf numFmtId="0" fontId="0" fillId="0" borderId="1" xfId="0" applyBorder="1" applyAlignment="1" applyProtection="1">
      <alignment horizontal="center"/>
      <protection locked="0"/>
    </xf>
    <xf numFmtId="0" fontId="3" fillId="0" borderId="1" xfId="0" applyFont="1" applyBorder="1" applyProtection="1">
      <protection locked="0"/>
    </xf>
    <xf numFmtId="0" fontId="0" fillId="0" borderId="2" xfId="0" applyBorder="1" applyProtection="1">
      <protection locked="0"/>
    </xf>
    <xf numFmtId="0" fontId="0" fillId="2" borderId="2" xfId="0" applyFill="1" applyBorder="1" applyAlignment="1" applyProtection="1">
      <alignment horizontal="center"/>
    </xf>
    <xf numFmtId="0" fontId="5" fillId="2" borderId="2" xfId="0" applyFont="1" applyFill="1" applyBorder="1" applyProtection="1"/>
    <xf numFmtId="0" fontId="0" fillId="0" borderId="2" xfId="0" applyBorder="1" applyAlignment="1" applyProtection="1">
      <alignment horizontal="center"/>
      <protection locked="0"/>
    </xf>
    <xf numFmtId="0" fontId="5" fillId="0" borderId="22" xfId="0" applyFont="1" applyBorder="1" applyProtection="1">
      <protection locked="0"/>
    </xf>
    <xf numFmtId="0" fontId="5" fillId="0" borderId="15" xfId="0" applyFont="1" applyBorder="1" applyProtection="1">
      <protection locked="0"/>
    </xf>
    <xf numFmtId="0" fontId="5" fillId="0" borderId="18" xfId="0" applyFont="1" applyBorder="1" applyProtection="1">
      <protection locked="0"/>
    </xf>
    <xf numFmtId="0" fontId="3" fillId="0" borderId="15" xfId="0" applyFont="1" applyBorder="1" applyProtection="1">
      <protection locked="0"/>
    </xf>
    <xf numFmtId="0" fontId="3" fillId="0" borderId="18" xfId="0" applyFont="1" applyBorder="1" applyProtection="1">
      <protection locked="0"/>
    </xf>
    <xf numFmtId="0" fontId="0" fillId="0" borderId="18" xfId="0" applyBorder="1" applyProtection="1">
      <protection locked="0"/>
    </xf>
    <xf numFmtId="0" fontId="3" fillId="0" borderId="15" xfId="0" applyFont="1" applyFill="1" applyBorder="1" applyProtection="1">
      <protection locked="0"/>
    </xf>
    <xf numFmtId="0" fontId="5" fillId="0" borderId="15" xfId="0" applyFont="1" applyFill="1" applyBorder="1" applyProtection="1">
      <protection locked="0"/>
    </xf>
    <xf numFmtId="0" fontId="5" fillId="0" borderId="18" xfId="0" applyFont="1" applyFill="1" applyBorder="1" applyProtection="1">
      <protection locked="0"/>
    </xf>
    <xf numFmtId="0" fontId="0" fillId="0" borderId="15" xfId="0" applyFill="1" applyBorder="1" applyProtection="1">
      <protection locked="0"/>
    </xf>
    <xf numFmtId="0" fontId="0" fillId="0" borderId="15" xfId="0" applyFill="1" applyBorder="1" applyAlignment="1" applyProtection="1">
      <alignment horizontal="left"/>
      <protection locked="0"/>
    </xf>
    <xf numFmtId="0" fontId="0" fillId="0" borderId="18" xfId="0" applyFill="1" applyBorder="1" applyAlignment="1" applyProtection="1">
      <alignment horizontal="left"/>
      <protection locked="0"/>
    </xf>
    <xf numFmtId="0" fontId="5" fillId="0" borderId="15" xfId="0" applyFont="1" applyFill="1" applyBorder="1" applyAlignment="1" applyProtection="1">
      <alignment horizontal="left"/>
      <protection locked="0"/>
    </xf>
    <xf numFmtId="0" fontId="0" fillId="0" borderId="15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0" fontId="0" fillId="0" borderId="14" xfId="0" applyBorder="1" applyAlignment="1" applyProtection="1">
      <alignment horizontal="left"/>
      <protection locked="0"/>
    </xf>
    <xf numFmtId="0" fontId="3" fillId="0" borderId="0" xfId="0" applyFont="1" applyAlignment="1" applyProtection="1">
      <protection locked="0"/>
    </xf>
    <xf numFmtId="2" fontId="0" fillId="0" borderId="0" xfId="0" applyNumberFormat="1" applyAlignment="1" applyProtection="1">
      <alignment horizontal="right"/>
      <protection locked="0"/>
    </xf>
    <xf numFmtId="165" fontId="0" fillId="0" borderId="0" xfId="0" applyNumberFormat="1" applyAlignment="1" applyProtection="1">
      <alignment horizontal="center" vertical="center"/>
      <protection locked="0"/>
    </xf>
    <xf numFmtId="165" fontId="0" fillId="0" borderId="0" xfId="0" applyNumberFormat="1" applyAlignment="1" applyProtection="1">
      <alignment vertical="top"/>
      <protection locked="0"/>
    </xf>
    <xf numFmtId="0" fontId="7" fillId="0" borderId="0" xfId="0" applyFont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1" xfId="0" applyFill="1" applyBorder="1" applyAlignment="1" applyProtection="1">
      <alignment horizontal="center" vertical="center" wrapText="1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15" fillId="0" borderId="2" xfId="2" applyFont="1" applyBorder="1" applyAlignment="1">
      <alignment horizontal="center"/>
    </xf>
    <xf numFmtId="0" fontId="1" fillId="0" borderId="16" xfId="2" applyBorder="1" applyAlignment="1">
      <alignment horizontal="center" vertical="center" wrapText="1"/>
    </xf>
    <xf numFmtId="0" fontId="1" fillId="0" borderId="17" xfId="2" applyBorder="1" applyAlignment="1">
      <alignment horizontal="center" vertical="center" wrapText="1"/>
    </xf>
    <xf numFmtId="0" fontId="1" fillId="0" borderId="19" xfId="2" applyBorder="1" applyAlignment="1">
      <alignment horizontal="center" vertical="center" wrapText="1"/>
    </xf>
    <xf numFmtId="0" fontId="1" fillId="0" borderId="20" xfId="2" applyBorder="1" applyAlignment="1">
      <alignment horizontal="center" vertical="center" wrapText="1"/>
    </xf>
    <xf numFmtId="0" fontId="1" fillId="0" borderId="21" xfId="2" applyBorder="1" applyAlignment="1">
      <alignment horizontal="center" vertical="center" wrapText="1"/>
    </xf>
    <xf numFmtId="0" fontId="7" fillId="0" borderId="0" xfId="0" applyFont="1" applyBorder="1" applyAlignment="1">
      <alignment horizontal="left" vertical="top" wrapText="1"/>
    </xf>
    <xf numFmtId="0" fontId="8" fillId="0" borderId="0" xfId="0" applyFont="1" applyAlignment="1">
      <alignment horizontal="left" vertical="top" wrapText="1"/>
    </xf>
  </cellXfs>
  <cellStyles count="3">
    <cellStyle name="Normal" xfId="0" builtinId="0"/>
    <cellStyle name="Normal 2" xfId="1" xr:uid="{00000000-0005-0000-0000-000001000000}"/>
    <cellStyle name="Normal 2 2" xfId="2" xr:uid="{B9566440-6F3E-4B78-917B-AE53D01AC3BD}"/>
  </cellStyles>
  <dxfs count="18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b/>
        <i val="0"/>
        <strike val="0"/>
      </font>
    </dxf>
    <dxf>
      <font>
        <b/>
        <i val="0"/>
        <strike val="0"/>
      </font>
    </dxf>
    <dxf>
      <font>
        <b/>
        <i val="0"/>
        <strike val="0"/>
      </font>
    </dxf>
    <dxf>
      <font>
        <color theme="0"/>
      </font>
      <fill>
        <patternFill>
          <bgColor theme="1"/>
        </patternFill>
      </fill>
    </dxf>
    <dxf>
      <font>
        <b/>
        <i val="0"/>
        <strike val="0"/>
      </font>
    </dxf>
    <dxf>
      <font>
        <b/>
        <i val="0"/>
        <strike val="0"/>
      </font>
    </dxf>
    <dxf>
      <font>
        <b/>
        <i val="0"/>
        <strike val="0"/>
      </font>
    </dxf>
    <dxf>
      <font>
        <b/>
        <i val="0"/>
        <strike val="0"/>
      </font>
    </dxf>
    <dxf>
      <font>
        <color theme="0"/>
      </font>
      <fill>
        <patternFill>
          <bgColor theme="1"/>
        </patternFill>
      </fill>
    </dxf>
    <dxf>
      <font>
        <b/>
        <i val="0"/>
        <strike val="0"/>
      </font>
    </dxf>
    <dxf>
      <font>
        <b/>
        <i val="0"/>
        <strike val="0"/>
      </font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777240</xdr:colOff>
          <xdr:row>0</xdr:row>
          <xdr:rowOff>68580</xdr:rowOff>
        </xdr:from>
        <xdr:to>
          <xdr:col>3</xdr:col>
          <xdr:colOff>2148840</xdr:colOff>
          <xdr:row>2</xdr:row>
          <xdr:rowOff>15240</xdr:rowOff>
        </xdr:to>
        <xdr:sp macro="" textlink="">
          <xdr:nvSpPr>
            <xdr:cNvPr id="2054" name="cmdCreateMapXML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2324100</xdr:colOff>
          <xdr:row>0</xdr:row>
          <xdr:rowOff>160020</xdr:rowOff>
        </xdr:from>
        <xdr:to>
          <xdr:col>3</xdr:col>
          <xdr:colOff>5562600</xdr:colOff>
          <xdr:row>2</xdr:row>
          <xdr:rowOff>49530</xdr:rowOff>
        </xdr:to>
        <xdr:sp macro="" textlink="">
          <xdr:nvSpPr>
            <xdr:cNvPr id="2055" name="chkHideDIO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769620</xdr:colOff>
          <xdr:row>2</xdr:row>
          <xdr:rowOff>99060</xdr:rowOff>
        </xdr:from>
        <xdr:to>
          <xdr:col>3</xdr:col>
          <xdr:colOff>2148840</xdr:colOff>
          <xdr:row>4</xdr:row>
          <xdr:rowOff>53340</xdr:rowOff>
        </xdr:to>
        <xdr:sp macro="" textlink="">
          <xdr:nvSpPr>
            <xdr:cNvPr id="2072" name="cmdOpenFileLocation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5</xdr:col>
      <xdr:colOff>0</xdr:colOff>
      <xdr:row>9</xdr:row>
      <xdr:rowOff>0</xdr:rowOff>
    </xdr:from>
    <xdr:to>
      <xdr:col>15</xdr:col>
      <xdr:colOff>18894</xdr:colOff>
      <xdr:row>21</xdr:row>
      <xdr:rowOff>136365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24900" y="1571625"/>
          <a:ext cx="6305394" cy="236140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26</xdr:row>
      <xdr:rowOff>0</xdr:rowOff>
    </xdr:from>
    <xdr:to>
      <xdr:col>19</xdr:col>
      <xdr:colOff>36613</xdr:colOff>
      <xdr:row>53</xdr:row>
      <xdr:rowOff>97076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24900" y="4648200"/>
          <a:ext cx="8837713" cy="47300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9526</xdr:colOff>
      <xdr:row>1</xdr:row>
      <xdr:rowOff>28576</xdr:rowOff>
    </xdr:from>
    <xdr:to>
      <xdr:col>21</xdr:col>
      <xdr:colOff>587767</xdr:colOff>
      <xdr:row>23</xdr:row>
      <xdr:rowOff>72391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17331" y="198121"/>
          <a:ext cx="8981196" cy="37033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65536"/>
  <sheetViews>
    <sheetView workbookViewId="0">
      <selection activeCell="B17" sqref="B17"/>
    </sheetView>
  </sheetViews>
  <sheetFormatPr defaultColWidth="9.109375" defaultRowHeight="13.2"/>
  <cols>
    <col min="1" max="1" width="11.88671875" style="6" customWidth="1"/>
    <col min="2" max="2" width="10.5546875" style="6" customWidth="1"/>
    <col min="3" max="3" width="12.5546875" style="6" customWidth="1"/>
    <col min="4" max="4" width="83" style="6" customWidth="1"/>
    <col min="5" max="16384" width="9.109375" style="6"/>
  </cols>
  <sheetData>
    <row r="1" spans="1:6">
      <c r="A1" s="11"/>
      <c r="B1" s="12" t="s">
        <v>11</v>
      </c>
      <c r="C1" s="46" t="s">
        <v>502</v>
      </c>
      <c r="D1" s="7"/>
    </row>
    <row r="2" spans="1:6">
      <c r="A2" s="11"/>
      <c r="B2" s="12" t="s">
        <v>10</v>
      </c>
      <c r="C2" s="9">
        <f>INDEX(A7:A101,COUNTA(A7:A101))</f>
        <v>0.95199999999999996</v>
      </c>
    </row>
    <row r="3" spans="1:6">
      <c r="A3" s="11"/>
      <c r="B3" s="12" t="s">
        <v>12</v>
      </c>
      <c r="C3" s="10">
        <f>INDEX(B7:B101,COUNTA(B7:B101))</f>
        <v>44153</v>
      </c>
    </row>
    <row r="4" spans="1:6">
      <c r="A4" s="11"/>
      <c r="B4" s="12" t="s">
        <v>27</v>
      </c>
      <c r="C4" s="59" t="s">
        <v>185</v>
      </c>
    </row>
    <row r="5" spans="1:6">
      <c r="A5" s="11"/>
      <c r="B5" s="47" t="s">
        <v>143</v>
      </c>
      <c r="C5" s="8" t="s">
        <v>179</v>
      </c>
    </row>
    <row r="6" spans="1:6" ht="15.6">
      <c r="A6" s="158"/>
      <c r="B6" s="158"/>
      <c r="C6" s="158"/>
      <c r="D6" s="158"/>
    </row>
    <row r="7" spans="1:6">
      <c r="A7" s="13" t="s">
        <v>15</v>
      </c>
      <c r="B7" s="13" t="s">
        <v>13</v>
      </c>
      <c r="C7" s="13" t="s">
        <v>16</v>
      </c>
      <c r="D7" s="13" t="s">
        <v>14</v>
      </c>
    </row>
    <row r="8" spans="1:6" s="51" customFormat="1">
      <c r="A8" s="156">
        <v>0.1</v>
      </c>
      <c r="B8" s="71">
        <v>43728</v>
      </c>
      <c r="C8" s="70" t="s">
        <v>188</v>
      </c>
      <c r="D8" s="54" t="s">
        <v>189</v>
      </c>
      <c r="F8" s="73" t="s">
        <v>195</v>
      </c>
    </row>
    <row r="9" spans="1:6" s="51" customFormat="1">
      <c r="A9" s="156">
        <v>0.2</v>
      </c>
      <c r="B9" s="71">
        <v>43893</v>
      </c>
      <c r="C9" s="70" t="s">
        <v>188</v>
      </c>
      <c r="D9" s="55" t="s">
        <v>190</v>
      </c>
    </row>
    <row r="10" spans="1:6" s="51" customFormat="1">
      <c r="A10" s="156">
        <v>0.3</v>
      </c>
      <c r="B10" s="71">
        <v>43984</v>
      </c>
      <c r="C10" s="70" t="s">
        <v>188</v>
      </c>
      <c r="D10" s="68" t="s">
        <v>191</v>
      </c>
    </row>
    <row r="11" spans="1:6" s="51" customFormat="1">
      <c r="A11" s="156">
        <v>0.9</v>
      </c>
      <c r="B11" s="71">
        <v>44005</v>
      </c>
      <c r="C11" s="70" t="s">
        <v>188</v>
      </c>
      <c r="D11" s="54" t="s">
        <v>192</v>
      </c>
    </row>
    <row r="12" spans="1:6" s="51" customFormat="1" ht="26.4">
      <c r="A12" s="156">
        <v>0.91</v>
      </c>
      <c r="B12" s="71">
        <v>44132</v>
      </c>
      <c r="C12" s="70" t="s">
        <v>186</v>
      </c>
      <c r="D12" s="69" t="s">
        <v>193</v>
      </c>
    </row>
    <row r="13" spans="1:6" s="51" customFormat="1">
      <c r="A13" s="156">
        <v>0.92</v>
      </c>
      <c r="B13" s="71">
        <v>44140</v>
      </c>
      <c r="C13" s="67" t="s">
        <v>186</v>
      </c>
      <c r="D13" s="51" t="s">
        <v>194</v>
      </c>
    </row>
    <row r="14" spans="1:6" s="51" customFormat="1">
      <c r="A14" s="156">
        <v>0.95</v>
      </c>
      <c r="B14" s="71">
        <v>44147</v>
      </c>
      <c r="C14" s="70" t="s">
        <v>186</v>
      </c>
      <c r="D14" s="54" t="s">
        <v>187</v>
      </c>
    </row>
    <row r="15" spans="1:6" s="51" customFormat="1">
      <c r="A15" s="156">
        <v>0.95099999999999996</v>
      </c>
      <c r="B15" s="71">
        <v>44153</v>
      </c>
      <c r="C15" s="70" t="s">
        <v>186</v>
      </c>
      <c r="D15" s="54" t="s">
        <v>500</v>
      </c>
    </row>
    <row r="16" spans="1:6" s="51" customFormat="1">
      <c r="A16" s="156">
        <v>0.95199999999999996</v>
      </c>
      <c r="B16" s="71">
        <v>44153</v>
      </c>
      <c r="C16" s="67" t="s">
        <v>186</v>
      </c>
      <c r="D16" s="51" t="s">
        <v>503</v>
      </c>
    </row>
    <row r="17" spans="1:6" s="51" customFormat="1">
      <c r="A17" s="156"/>
      <c r="B17" s="71"/>
      <c r="C17" s="67"/>
    </row>
    <row r="18" spans="1:6" s="51" customFormat="1">
      <c r="A18" s="156"/>
      <c r="B18" s="71"/>
      <c r="C18" s="67"/>
    </row>
    <row r="19" spans="1:6" s="51" customFormat="1">
      <c r="A19" s="156"/>
      <c r="B19" s="71"/>
      <c r="C19" s="67"/>
    </row>
    <row r="20" spans="1:6" s="51" customFormat="1">
      <c r="A20" s="156"/>
      <c r="B20" s="71"/>
      <c r="C20" s="67"/>
    </row>
    <row r="21" spans="1:6" s="51" customFormat="1">
      <c r="A21" s="156"/>
      <c r="B21" s="71"/>
      <c r="C21" s="67"/>
    </row>
    <row r="22" spans="1:6" s="51" customFormat="1">
      <c r="A22" s="156"/>
      <c r="B22" s="71"/>
      <c r="C22" s="67"/>
    </row>
    <row r="23" spans="1:6" s="51" customFormat="1">
      <c r="A23" s="156"/>
      <c r="B23" s="71"/>
      <c r="C23" s="67"/>
    </row>
    <row r="24" spans="1:6" s="51" customFormat="1">
      <c r="A24" s="156"/>
      <c r="B24" s="71"/>
      <c r="C24" s="67"/>
    </row>
    <row r="25" spans="1:6" s="51" customFormat="1">
      <c r="A25" s="156"/>
      <c r="B25" s="71"/>
      <c r="C25" s="67"/>
      <c r="F25" s="74" t="s">
        <v>196</v>
      </c>
    </row>
    <row r="26" spans="1:6" s="51" customFormat="1">
      <c r="A26" s="156"/>
      <c r="B26" s="71"/>
      <c r="C26" s="67"/>
    </row>
    <row r="27" spans="1:6" s="51" customFormat="1">
      <c r="A27" s="156"/>
      <c r="B27" s="71"/>
      <c r="C27" s="67"/>
    </row>
    <row r="28" spans="1:6" s="51" customFormat="1">
      <c r="A28" s="156"/>
      <c r="B28" s="71"/>
      <c r="C28" s="67"/>
    </row>
    <row r="29" spans="1:6" s="51" customFormat="1">
      <c r="A29" s="156"/>
      <c r="B29" s="71"/>
      <c r="C29" s="67"/>
    </row>
    <row r="30" spans="1:6" s="51" customFormat="1">
      <c r="A30" s="156"/>
      <c r="B30" s="71"/>
      <c r="C30" s="67"/>
    </row>
    <row r="31" spans="1:6" s="51" customFormat="1">
      <c r="A31" s="156"/>
      <c r="B31" s="71"/>
      <c r="C31" s="67"/>
    </row>
    <row r="32" spans="1:6" s="51" customFormat="1">
      <c r="A32" s="156"/>
      <c r="B32" s="71"/>
      <c r="C32" s="67"/>
    </row>
    <row r="33" spans="1:2" s="51" customFormat="1">
      <c r="A33" s="157"/>
      <c r="B33" s="72"/>
    </row>
    <row r="34" spans="1:2" s="51" customFormat="1">
      <c r="A34" s="157"/>
    </row>
    <row r="35" spans="1:2" s="51" customFormat="1"/>
    <row r="36" spans="1:2" s="51" customFormat="1"/>
    <row r="37" spans="1:2" s="51" customFormat="1"/>
    <row r="38" spans="1:2" s="51" customFormat="1"/>
    <row r="39" spans="1:2" s="51" customFormat="1"/>
    <row r="40" spans="1:2" s="51" customFormat="1"/>
    <row r="41" spans="1:2" s="51" customFormat="1"/>
    <row r="42" spans="1:2" s="51" customFormat="1"/>
    <row r="43" spans="1:2" s="51" customFormat="1"/>
    <row r="44" spans="1:2" s="51" customFormat="1"/>
    <row r="45" spans="1:2" s="51" customFormat="1"/>
    <row r="46" spans="1:2" s="51" customFormat="1"/>
    <row r="47" spans="1:2" s="51" customFormat="1"/>
    <row r="48" spans="1:2" s="51" customFormat="1"/>
    <row r="49" s="51" customFormat="1"/>
    <row r="65536" spans="3:3">
      <c r="C65536" s="8"/>
    </row>
  </sheetData>
  <sheetProtection selectLockedCells="1"/>
  <protectedRanges>
    <protectedRange sqref="D5" name="DIO_Name_2_1_1"/>
  </protectedRanges>
  <mergeCells count="1">
    <mergeCell ref="A6:D6"/>
  </mergeCells>
  <phoneticPr fontId="6" type="noConversion"/>
  <dataValidations count="1">
    <dataValidation type="list" allowBlank="1" showInputMessage="1" showErrorMessage="1" error="This template only works for FAST hardware." sqref="C5" xr:uid="{00000000-0002-0000-0000-000000000000}">
      <formula1>"FAST, FastX20"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54" r:id="rId4" name="cmdCreateMapXML">
          <controlPr defaultSize="0" print="0" autoLine="0" r:id="rId5">
            <anchor moveWithCells="1">
              <from>
                <xdr:col>3</xdr:col>
                <xdr:colOff>777240</xdr:colOff>
                <xdr:row>0</xdr:row>
                <xdr:rowOff>68580</xdr:rowOff>
              </from>
              <to>
                <xdr:col>3</xdr:col>
                <xdr:colOff>2156460</xdr:colOff>
                <xdr:row>2</xdr:row>
                <xdr:rowOff>22860</xdr:rowOff>
              </to>
            </anchor>
          </controlPr>
        </control>
      </mc:Choice>
      <mc:Fallback>
        <control shapeId="2054" r:id="rId4" name="cmdCreateMapXML"/>
      </mc:Fallback>
    </mc:AlternateContent>
    <mc:AlternateContent xmlns:mc="http://schemas.openxmlformats.org/markup-compatibility/2006">
      <mc:Choice Requires="x14">
        <control shapeId="2055" r:id="rId6" name="chkHideDIO">
          <controlPr defaultSize="0" autoLine="0" r:id="rId7">
            <anchor moveWithCells="1">
              <from>
                <xdr:col>3</xdr:col>
                <xdr:colOff>2324100</xdr:colOff>
                <xdr:row>0</xdr:row>
                <xdr:rowOff>160020</xdr:rowOff>
              </from>
              <to>
                <xdr:col>3</xdr:col>
                <xdr:colOff>5562600</xdr:colOff>
                <xdr:row>2</xdr:row>
                <xdr:rowOff>45720</xdr:rowOff>
              </to>
            </anchor>
          </controlPr>
        </control>
      </mc:Choice>
      <mc:Fallback>
        <control shapeId="2055" r:id="rId6" name="chkHideDIO"/>
      </mc:Fallback>
    </mc:AlternateContent>
    <mc:AlternateContent xmlns:mc="http://schemas.openxmlformats.org/markup-compatibility/2006">
      <mc:Choice Requires="x14">
        <control shapeId="2072" r:id="rId8" name="cmdOpenFileLocation">
          <controlPr defaultSize="0" print="0" autoLine="0" r:id="rId9">
            <anchor moveWithCells="1">
              <from>
                <xdr:col>3</xdr:col>
                <xdr:colOff>769620</xdr:colOff>
                <xdr:row>2</xdr:row>
                <xdr:rowOff>99060</xdr:rowOff>
              </from>
              <to>
                <xdr:col>3</xdr:col>
                <xdr:colOff>2156460</xdr:colOff>
                <xdr:row>4</xdr:row>
                <xdr:rowOff>60960</xdr:rowOff>
              </to>
            </anchor>
          </controlPr>
        </control>
      </mc:Choice>
      <mc:Fallback>
        <control shapeId="2072" r:id="rId8" name="cmdOpenFileLocati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J56"/>
  <sheetViews>
    <sheetView tabSelected="1" workbookViewId="0">
      <pane ySplit="4" topLeftCell="A32" activePane="bottomLeft" state="frozen"/>
      <selection pane="bottomLeft" activeCell="G41" sqref="G41"/>
    </sheetView>
  </sheetViews>
  <sheetFormatPr defaultColWidth="9.109375" defaultRowHeight="13.2"/>
  <cols>
    <col min="1" max="1" width="30.33203125" style="6" customWidth="1"/>
    <col min="2" max="2" width="33.6640625" style="6" customWidth="1"/>
    <col min="3" max="3" width="8.5546875" style="49" bestFit="1" customWidth="1"/>
    <col min="4" max="4" width="8.6640625" style="22" bestFit="1" customWidth="1"/>
    <col min="5" max="5" width="13.44140625" style="22" bestFit="1" customWidth="1"/>
    <col min="6" max="6" width="6.5546875" style="22" bestFit="1" customWidth="1"/>
    <col min="7" max="7" width="6.109375" style="22" bestFit="1" customWidth="1"/>
    <col min="8" max="8" width="10.109375" style="22" customWidth="1"/>
    <col min="9" max="9" width="12.44140625" style="19" customWidth="1"/>
    <col min="10" max="10" width="81.44140625" style="19" bestFit="1" customWidth="1"/>
    <col min="11" max="16384" width="9.109375" style="6"/>
  </cols>
  <sheetData>
    <row r="1" spans="1:10" s="7" customFormat="1">
      <c r="A1" s="40" t="s">
        <v>9</v>
      </c>
      <c r="B1" s="40"/>
      <c r="C1" s="23"/>
      <c r="D1" s="41"/>
      <c r="E1" s="41"/>
      <c r="F1" s="41"/>
      <c r="G1" s="41"/>
      <c r="H1" s="41"/>
      <c r="I1" s="42"/>
      <c r="J1" s="42"/>
    </row>
    <row r="2" spans="1:10" s="7" customFormat="1">
      <c r="A2" s="43" t="s">
        <v>30</v>
      </c>
      <c r="B2" s="15"/>
      <c r="C2" s="23"/>
      <c r="D2" s="41"/>
      <c r="E2" s="41"/>
      <c r="F2" s="41"/>
      <c r="G2" s="41"/>
      <c r="H2" s="41"/>
      <c r="I2" s="42"/>
      <c r="J2" s="42"/>
    </row>
    <row r="3" spans="1:10" s="16" customFormat="1" ht="15.6">
      <c r="A3" s="44" t="s">
        <v>3</v>
      </c>
      <c r="C3" s="25"/>
      <c r="D3" s="45"/>
      <c r="E3" s="45"/>
      <c r="F3" s="45"/>
      <c r="G3" s="45"/>
      <c r="H3" s="45"/>
      <c r="I3" s="46"/>
      <c r="J3" s="46"/>
    </row>
    <row r="4" spans="1:10" s="17" customFormat="1" ht="27" thickBot="1">
      <c r="A4" s="26" t="s">
        <v>28</v>
      </c>
      <c r="B4" s="26" t="s">
        <v>8</v>
      </c>
      <c r="C4" s="26" t="s">
        <v>29</v>
      </c>
      <c r="D4" s="26" t="s">
        <v>38</v>
      </c>
      <c r="E4" s="26" t="s">
        <v>35</v>
      </c>
      <c r="F4" s="26" t="s">
        <v>2</v>
      </c>
      <c r="G4" s="26" t="s">
        <v>1</v>
      </c>
      <c r="H4" s="26" t="s">
        <v>141</v>
      </c>
      <c r="I4" s="26" t="s">
        <v>39</v>
      </c>
      <c r="J4" s="26" t="s">
        <v>0</v>
      </c>
    </row>
    <row r="5" spans="1:10">
      <c r="B5" s="6" t="str">
        <f>_xlfn.IFNA(IF(LEFT(D5,4)="J1B2",INDEX(SQIB_QSH!$G$2:$G$61,MATCH(_xlfn.NUMBERVALUE(RIGHT(D5,LEN(D5)-FIND(".",D5))),SQIB_QSH!$E$2:$E$61,0)),INDEX(SQIB_QSH!$G$2:$G$61,MATCH(_xlfn.NUMBERVALUE(RIGHT(D5,LEN(D5)-FIND(".",D5))),SQIB_QSH!$C$2:$C$61,0))),"")</f>
        <v/>
      </c>
      <c r="C5" s="28">
        <v>0</v>
      </c>
      <c r="D5" s="48" t="s">
        <v>54</v>
      </c>
      <c r="E5" s="6" t="s">
        <v>37</v>
      </c>
      <c r="F5" s="6"/>
      <c r="G5" s="22" t="s">
        <v>40</v>
      </c>
      <c r="H5" s="41" t="b">
        <v>0</v>
      </c>
      <c r="I5" s="159">
        <v>3.3</v>
      </c>
      <c r="J5" s="138"/>
    </row>
    <row r="6" spans="1:10">
      <c r="B6" s="6" t="str">
        <f>_xlfn.IFNA(IF(LEFT(D6,4)="J1B2",INDEX(SQIB_QSH!$G$2:$G$61,MATCH(_xlfn.NUMBERVALUE(RIGHT(D6,LEN(D6)-FIND(".",D6))),SQIB_QSH!$E$2:$E$61,0)),INDEX(SQIB_QSH!$G$2:$G$61,MATCH(_xlfn.NUMBERVALUE(RIGHT(D6,LEN(D6)-FIND(".",D6))),SQIB_QSH!$C$2:$C$61,0))),"")</f>
        <v/>
      </c>
      <c r="C6" s="28">
        <v>1</v>
      </c>
      <c r="D6" s="48" t="s">
        <v>55</v>
      </c>
      <c r="E6" s="6" t="s">
        <v>37</v>
      </c>
      <c r="F6" s="6"/>
      <c r="G6" s="22" t="s">
        <v>40</v>
      </c>
      <c r="H6" s="41" t="b">
        <v>0</v>
      </c>
      <c r="I6" s="160"/>
      <c r="J6" s="139"/>
    </row>
    <row r="7" spans="1:10">
      <c r="B7" s="6" t="str">
        <f>_xlfn.IFNA(IF(LEFT(D7,4)="J1B2",INDEX(SQIB_QSH!$G$2:$G$61,MATCH(_xlfn.NUMBERVALUE(RIGHT(D7,LEN(D7)-FIND(".",D7))),SQIB_QSH!$E$2:$E$61,0)),INDEX(SQIB_QSH!$G$2:$G$61,MATCH(_xlfn.NUMBERVALUE(RIGHT(D7,LEN(D7)-FIND(".",D7))),SQIB_QSH!$C$2:$C$61,0))),"")</f>
        <v/>
      </c>
      <c r="C7" s="28">
        <v>2</v>
      </c>
      <c r="D7" s="48" t="s">
        <v>56</v>
      </c>
      <c r="E7" s="6" t="s">
        <v>37</v>
      </c>
      <c r="F7" s="6"/>
      <c r="G7" s="22" t="s">
        <v>40</v>
      </c>
      <c r="H7" s="41" t="b">
        <v>0</v>
      </c>
      <c r="I7" s="160"/>
      <c r="J7" s="139"/>
    </row>
    <row r="8" spans="1:10">
      <c r="A8" s="129"/>
      <c r="B8" s="129" t="str">
        <f>_xlfn.IFNA(IF(LEFT(D8,4)="J1B2",INDEX(SQIB_QSH!$G$2:$G$61,MATCH(_xlfn.NUMBERVALUE(RIGHT(D8,LEN(D8)-FIND(".",D8))),SQIB_QSH!$E$2:$E$61,0)),INDEX(SQIB_QSH!$G$2:$G$61,MATCH(_xlfn.NUMBERVALUE(RIGHT(D8,LEN(D8)-FIND(".",D8))),SQIB_QSH!$C$2:$C$61,0))),"")</f>
        <v/>
      </c>
      <c r="C8" s="130">
        <v>3</v>
      </c>
      <c r="D8" s="131" t="s">
        <v>57</v>
      </c>
      <c r="E8" s="129" t="s">
        <v>37</v>
      </c>
      <c r="F8" s="129"/>
      <c r="G8" s="132" t="s">
        <v>40</v>
      </c>
      <c r="H8" s="132" t="b">
        <v>0</v>
      </c>
      <c r="I8" s="161"/>
      <c r="J8" s="140"/>
    </row>
    <row r="9" spans="1:10">
      <c r="B9" s="6" t="str">
        <f>_xlfn.IFNA(IF(LEFT(D9,4)="J1B2",INDEX(SQIB_QSH!$G$2:$G$61,MATCH(_xlfn.NUMBERVALUE(RIGHT(D9,LEN(D9)-FIND(".",D9))),SQIB_QSH!$E$2:$E$61,0)),INDEX(SQIB_QSH!$G$2:$G$61,MATCH(_xlfn.NUMBERVALUE(RIGHT(D9,LEN(D9)-FIND(".",D9))),SQIB_QSH!$C$2:$C$61,0))),"")</f>
        <v/>
      </c>
      <c r="C9" s="28">
        <v>4</v>
      </c>
      <c r="D9" s="48" t="s">
        <v>58</v>
      </c>
      <c r="E9" s="6" t="s">
        <v>37</v>
      </c>
      <c r="F9" s="6"/>
      <c r="G9" s="22" t="s">
        <v>40</v>
      </c>
      <c r="H9" s="41" t="b">
        <v>0</v>
      </c>
      <c r="I9" s="160">
        <v>3.3</v>
      </c>
      <c r="J9" s="139"/>
    </row>
    <row r="10" spans="1:10">
      <c r="B10" s="6" t="str">
        <f>_xlfn.IFNA(IF(LEFT(D10,4)="J1B2",INDEX(SQIB_QSH!$G$2:$G$61,MATCH(_xlfn.NUMBERVALUE(RIGHT(D10,LEN(D10)-FIND(".",D10))),SQIB_QSH!$E$2:$E$61,0)),INDEX(SQIB_QSH!$G$2:$G$61,MATCH(_xlfn.NUMBERVALUE(RIGHT(D10,LEN(D10)-FIND(".",D10))),SQIB_QSH!$C$2:$C$61,0))),"")</f>
        <v/>
      </c>
      <c r="C10" s="28">
        <v>5</v>
      </c>
      <c r="D10" s="48" t="s">
        <v>59</v>
      </c>
      <c r="E10" s="6" t="s">
        <v>37</v>
      </c>
      <c r="F10" s="6"/>
      <c r="G10" s="22" t="s">
        <v>40</v>
      </c>
      <c r="H10" s="41" t="b">
        <v>0</v>
      </c>
      <c r="I10" s="160"/>
      <c r="J10" s="139"/>
    </row>
    <row r="11" spans="1:10">
      <c r="B11" s="6" t="str">
        <f>_xlfn.IFNA(IF(LEFT(D11,4)="J1B2",INDEX(SQIB_QSH!$G$2:$G$61,MATCH(_xlfn.NUMBERVALUE(RIGHT(D11,LEN(D11)-FIND(".",D11))),SQIB_QSH!$E$2:$E$61,0)),INDEX(SQIB_QSH!$G$2:$G$61,MATCH(_xlfn.NUMBERVALUE(RIGHT(D11,LEN(D11)-FIND(".",D11))),SQIB_QSH!$C$2:$C$61,0))),"")</f>
        <v/>
      </c>
      <c r="C11" s="28">
        <v>6</v>
      </c>
      <c r="D11" s="48" t="s">
        <v>60</v>
      </c>
      <c r="E11" s="6" t="s">
        <v>37</v>
      </c>
      <c r="F11" s="6"/>
      <c r="G11" s="22" t="s">
        <v>40</v>
      </c>
      <c r="H11" s="41" t="b">
        <v>0</v>
      </c>
      <c r="I11" s="160"/>
      <c r="J11" s="139"/>
    </row>
    <row r="12" spans="1:10">
      <c r="A12" s="129"/>
      <c r="B12" s="129" t="str">
        <f>_xlfn.IFNA(IF(LEFT(D12,4)="J1B2",INDEX(SQIB_QSH!$G$2:$G$61,MATCH(_xlfn.NUMBERVALUE(RIGHT(D12,LEN(D12)-FIND(".",D12))),SQIB_QSH!$E$2:$E$61,0)),INDEX(SQIB_QSH!$G$2:$G$61,MATCH(_xlfn.NUMBERVALUE(RIGHT(D12,LEN(D12)-FIND(".",D12))),SQIB_QSH!$C$2:$C$61,0))),"")</f>
        <v/>
      </c>
      <c r="C12" s="130">
        <v>7</v>
      </c>
      <c r="D12" s="131" t="s">
        <v>61</v>
      </c>
      <c r="E12" s="129" t="s">
        <v>37</v>
      </c>
      <c r="F12" s="129"/>
      <c r="G12" s="132" t="s">
        <v>40</v>
      </c>
      <c r="H12" s="132" t="b">
        <v>0</v>
      </c>
      <c r="I12" s="161"/>
      <c r="J12" s="140"/>
    </row>
    <row r="13" spans="1:10">
      <c r="B13" s="6" t="str">
        <f>_xlfn.IFNA(IF(LEFT(D13,4)="J1B2",INDEX(SQIB_QSH!$G$2:$G$61,MATCH(_xlfn.NUMBERVALUE(RIGHT(D13,LEN(D13)-FIND(".",D13))),SQIB_QSH!$E$2:$E$61,0)),INDEX(SQIB_QSH!$G$2:$G$61,MATCH(_xlfn.NUMBERVALUE(RIGHT(D13,LEN(D13)-FIND(".",D13))),SQIB_QSH!$C$2:$C$61,0))),"")</f>
        <v/>
      </c>
      <c r="C13" s="28">
        <v>8</v>
      </c>
      <c r="D13" s="48" t="s">
        <v>62</v>
      </c>
      <c r="E13" s="6" t="s">
        <v>37</v>
      </c>
      <c r="F13" s="6"/>
      <c r="G13" s="22" t="s">
        <v>40</v>
      </c>
      <c r="H13" s="41" t="b">
        <v>0</v>
      </c>
      <c r="I13" s="160">
        <v>3.3</v>
      </c>
      <c r="J13" s="139"/>
    </row>
    <row r="14" spans="1:10">
      <c r="B14" s="6" t="str">
        <f>_xlfn.IFNA(IF(LEFT(D14,4)="J1B2",INDEX(SQIB_QSH!$G$2:$G$61,MATCH(_xlfn.NUMBERVALUE(RIGHT(D14,LEN(D14)-FIND(".",D14))),SQIB_QSH!$E$2:$E$61,0)),INDEX(SQIB_QSH!$G$2:$G$61,MATCH(_xlfn.NUMBERVALUE(RIGHT(D14,LEN(D14)-FIND(".",D14))),SQIB_QSH!$C$2:$C$61,0))),"")</f>
        <v/>
      </c>
      <c r="C14" s="28">
        <v>9</v>
      </c>
      <c r="D14" s="48" t="s">
        <v>63</v>
      </c>
      <c r="E14" s="6" t="s">
        <v>37</v>
      </c>
      <c r="F14" s="6"/>
      <c r="G14" s="22" t="s">
        <v>40</v>
      </c>
      <c r="H14" s="41" t="b">
        <v>0</v>
      </c>
      <c r="I14" s="160"/>
      <c r="J14" s="139"/>
    </row>
    <row r="15" spans="1:10">
      <c r="A15" s="59" t="s">
        <v>478</v>
      </c>
      <c r="B15" s="6" t="str">
        <f>_xlfn.IFNA(IF(LEFT(D15,4)="J1B2",INDEX(SQIB_QSH!$G$2:$G$61,MATCH(_xlfn.NUMBERVALUE(RIGHT(D15,LEN(D15)-FIND(".",D15))),SQIB_QSH!$E$2:$E$61,0)),INDEX(SQIB_QSH!$G$2:$G$61,MATCH(_xlfn.NUMBERVALUE(RIGHT(D15,LEN(D15)-FIND(".",D15))),SQIB_QSH!$C$2:$C$61,0))),"")</f>
        <v/>
      </c>
      <c r="C15" s="28">
        <v>10</v>
      </c>
      <c r="D15" s="48" t="s">
        <v>64</v>
      </c>
      <c r="E15" s="6" t="s">
        <v>209</v>
      </c>
      <c r="F15" s="6"/>
      <c r="G15" s="22" t="s">
        <v>40</v>
      </c>
      <c r="H15" s="41" t="b">
        <v>0</v>
      </c>
      <c r="I15" s="160"/>
      <c r="J15" s="141" t="s">
        <v>482</v>
      </c>
    </row>
    <row r="16" spans="1:10">
      <c r="A16" s="133" t="s">
        <v>479</v>
      </c>
      <c r="B16" s="129" t="str">
        <f>_xlfn.IFNA(IF(LEFT(D16,4)="J1B2",INDEX(SQIB_QSH!$G$2:$G$61,MATCH(_xlfn.NUMBERVALUE(RIGHT(D16,LEN(D16)-FIND(".",D16))),SQIB_QSH!$E$2:$E$61,0)),INDEX(SQIB_QSH!$G$2:$G$61,MATCH(_xlfn.NUMBERVALUE(RIGHT(D16,LEN(D16)-FIND(".",D16))),SQIB_QSH!$C$2:$C$61,0))),"")</f>
        <v/>
      </c>
      <c r="C16" s="130">
        <v>11</v>
      </c>
      <c r="D16" s="131" t="s">
        <v>65</v>
      </c>
      <c r="E16" s="129" t="s">
        <v>209</v>
      </c>
      <c r="F16" s="129"/>
      <c r="G16" s="132" t="s">
        <v>40</v>
      </c>
      <c r="H16" s="132" t="b">
        <v>0</v>
      </c>
      <c r="I16" s="161"/>
      <c r="J16" s="142" t="s">
        <v>483</v>
      </c>
    </row>
    <row r="17" spans="1:10">
      <c r="A17" s="59" t="s">
        <v>480</v>
      </c>
      <c r="B17" s="6" t="str">
        <f>_xlfn.IFNA(IF(LEFT(D17,4)="J1B2",INDEX(SQIB_QSH!$G$2:$G$61,MATCH(_xlfn.NUMBERVALUE(RIGHT(D17,LEN(D17)-FIND(".",D17))),SQIB_QSH!$E$2:$E$61,0)),INDEX(SQIB_QSH!$G$2:$G$61,MATCH(_xlfn.NUMBERVALUE(RIGHT(D17,LEN(D17)-FIND(".",D17))),SQIB_QSH!$C$2:$C$61,0))),"")</f>
        <v/>
      </c>
      <c r="C17" s="28">
        <v>12</v>
      </c>
      <c r="D17" s="48" t="s">
        <v>66</v>
      </c>
      <c r="E17" s="6" t="s">
        <v>209</v>
      </c>
      <c r="F17" s="6"/>
      <c r="G17" s="22" t="s">
        <v>40</v>
      </c>
      <c r="H17" s="41" t="b">
        <v>0</v>
      </c>
      <c r="I17" s="160">
        <v>3.3</v>
      </c>
      <c r="J17" s="141" t="s">
        <v>484</v>
      </c>
    </row>
    <row r="18" spans="1:10">
      <c r="A18" s="6" t="s">
        <v>481</v>
      </c>
      <c r="B18" s="6" t="str">
        <f>_xlfn.IFNA(IF(LEFT(D18,4)="J1B2",INDEX(SQIB_QSH!$G$2:$G$61,MATCH(_xlfn.NUMBERVALUE(RIGHT(D18,LEN(D18)-FIND(".",D18))),SQIB_QSH!$E$2:$E$61,0)),INDEX(SQIB_QSH!$G$2:$G$61,MATCH(_xlfn.NUMBERVALUE(RIGHT(D18,LEN(D18)-FIND(".",D18))),SQIB_QSH!$C$2:$C$61,0))),"")</f>
        <v/>
      </c>
      <c r="C18" s="28">
        <v>13</v>
      </c>
      <c r="D18" s="48" t="s">
        <v>67</v>
      </c>
      <c r="E18" s="6" t="s">
        <v>209</v>
      </c>
      <c r="F18" s="6"/>
      <c r="G18" s="22" t="s">
        <v>40</v>
      </c>
      <c r="H18" s="41" t="b">
        <v>0</v>
      </c>
      <c r="I18" s="160"/>
      <c r="J18" s="141" t="s">
        <v>485</v>
      </c>
    </row>
    <row r="19" spans="1:10">
      <c r="B19" s="6" t="str">
        <f>_xlfn.IFNA(IF(LEFT(D19,4)="J1B2",INDEX(SQIB_QSH!$G$2:$G$61,MATCH(_xlfn.NUMBERVALUE(RIGHT(D19,LEN(D19)-FIND(".",D19))),SQIB_QSH!$E$2:$E$61,0)),INDEX(SQIB_QSH!$G$2:$G$61,MATCH(_xlfn.NUMBERVALUE(RIGHT(D19,LEN(D19)-FIND(".",D19))),SQIB_QSH!$C$2:$C$61,0))),"")</f>
        <v/>
      </c>
      <c r="C19" s="28">
        <v>14</v>
      </c>
      <c r="D19" s="48" t="s">
        <v>68</v>
      </c>
      <c r="E19" s="6" t="s">
        <v>37</v>
      </c>
      <c r="F19" s="6"/>
      <c r="G19" s="22" t="s">
        <v>40</v>
      </c>
      <c r="H19" s="41" t="b">
        <v>0</v>
      </c>
      <c r="I19" s="160"/>
      <c r="J19" s="139"/>
    </row>
    <row r="20" spans="1:10">
      <c r="A20" s="129"/>
      <c r="B20" s="129" t="str">
        <f>_xlfn.IFNA(IF(LEFT(D20,4)="J1B2",INDEX(SQIB_QSH!$G$2:$G$61,MATCH(_xlfn.NUMBERVALUE(RIGHT(D20,LEN(D20)-FIND(".",D20))),SQIB_QSH!$E$2:$E$61,0)),INDEX(SQIB_QSH!$G$2:$G$61,MATCH(_xlfn.NUMBERVALUE(RIGHT(D20,LEN(D20)-FIND(".",D20))),SQIB_QSH!$C$2:$C$61,0))),"")</f>
        <v/>
      </c>
      <c r="C20" s="130">
        <v>15</v>
      </c>
      <c r="D20" s="131" t="s">
        <v>69</v>
      </c>
      <c r="E20" s="129" t="s">
        <v>37</v>
      </c>
      <c r="F20" s="129"/>
      <c r="G20" s="132" t="s">
        <v>40</v>
      </c>
      <c r="H20" s="132" t="b">
        <v>0</v>
      </c>
      <c r="I20" s="161"/>
      <c r="J20" s="143"/>
    </row>
    <row r="21" spans="1:10">
      <c r="B21" s="6" t="str">
        <f>_xlfn.IFNA(IF(LEFT(D21,4)="J1B2",INDEX(SQIB_QSH!$G$2:$G$61,MATCH(_xlfn.NUMBERVALUE(RIGHT(D21,LEN(D21)-FIND(".",D21))),SQIB_QSH!$E$2:$E$61,0)),INDEX(SQIB_QSH!$G$2:$G$61,MATCH(_xlfn.NUMBERVALUE(RIGHT(D21,LEN(D21)-FIND(".",D21))),SQIB_QSH!$C$2:$C$61,0))),"")</f>
        <v>EV_GPU0_MEMHOT_N</v>
      </c>
      <c r="C21" s="28">
        <v>16</v>
      </c>
      <c r="D21" s="48" t="s">
        <v>70</v>
      </c>
      <c r="E21" s="6" t="s">
        <v>212</v>
      </c>
      <c r="F21" s="6"/>
      <c r="G21" s="22" t="s">
        <v>40</v>
      </c>
      <c r="H21" s="41" t="b">
        <v>0</v>
      </c>
      <c r="I21" s="162">
        <v>3.3</v>
      </c>
      <c r="J21" s="139"/>
    </row>
    <row r="22" spans="1:10">
      <c r="B22" s="6" t="str">
        <f>_xlfn.IFNA(IF(LEFT(D22,4)="J1B2",INDEX(SQIB_QSH!$G$2:$G$61,MATCH(_xlfn.NUMBERVALUE(RIGHT(D22,LEN(D22)-FIND(".",D22))),SQIB_QSH!$E$2:$E$61,0)),INDEX(SQIB_QSH!$G$2:$G$61,MATCH(_xlfn.NUMBERVALUE(RIGHT(D22,LEN(D22)-FIND(".",D22))),SQIB_QSH!$C$2:$C$61,0))),"")</f>
        <v>EV_GPU01_PMAX_EVENT_N</v>
      </c>
      <c r="C22" s="28">
        <v>17</v>
      </c>
      <c r="D22" s="48" t="s">
        <v>71</v>
      </c>
      <c r="E22" s="6" t="s">
        <v>212</v>
      </c>
      <c r="F22" s="6"/>
      <c r="G22" s="22" t="s">
        <v>40</v>
      </c>
      <c r="H22" s="41" t="b">
        <v>0</v>
      </c>
      <c r="I22" s="162"/>
      <c r="J22" s="144"/>
    </row>
    <row r="23" spans="1:10">
      <c r="B23" s="6" t="str">
        <f>_xlfn.IFNA(IF(LEFT(D23,4)="J1B2",INDEX(SQIB_QSH!$G$2:$G$61,MATCH(_xlfn.NUMBERVALUE(RIGHT(D23,LEN(D23)-FIND(".",D23))),SQIB_QSH!$E$2:$E$61,0)),INDEX(SQIB_QSH!$G$2:$G$61,MATCH(_xlfn.NUMBERVALUE(RIGHT(D23,LEN(D23)-FIND(".",D23))),SQIB_QSH!$C$2:$C$61,0))),"")</f>
        <v/>
      </c>
      <c r="C23" s="28">
        <v>18</v>
      </c>
      <c r="D23" s="48" t="s">
        <v>72</v>
      </c>
      <c r="E23" s="6" t="s">
        <v>37</v>
      </c>
      <c r="F23" s="6"/>
      <c r="G23" s="22" t="s">
        <v>40</v>
      </c>
      <c r="H23" s="41" t="b">
        <v>0</v>
      </c>
      <c r="I23" s="162"/>
      <c r="J23" s="145"/>
    </row>
    <row r="24" spans="1:10">
      <c r="A24" s="129"/>
      <c r="B24" s="129" t="str">
        <f>_xlfn.IFNA(IF(LEFT(D24,4)="J1B2",INDEX(SQIB_QSH!$G$2:$G$61,MATCH(_xlfn.NUMBERVALUE(RIGHT(D24,LEN(D24)-FIND(".",D24))),SQIB_QSH!$E$2:$E$61,0)),INDEX(SQIB_QSH!$G$2:$G$61,MATCH(_xlfn.NUMBERVALUE(RIGHT(D24,LEN(D24)-FIND(".",D24))),SQIB_QSH!$C$2:$C$61,0))),"")</f>
        <v/>
      </c>
      <c r="C24" s="130">
        <v>19</v>
      </c>
      <c r="D24" s="131" t="s">
        <v>73</v>
      </c>
      <c r="E24" s="129" t="s">
        <v>37</v>
      </c>
      <c r="F24" s="129"/>
      <c r="G24" s="132" t="s">
        <v>40</v>
      </c>
      <c r="H24" s="132" t="b">
        <v>0</v>
      </c>
      <c r="I24" s="163"/>
      <c r="J24" s="146"/>
    </row>
    <row r="25" spans="1:10">
      <c r="B25" s="6" t="str">
        <f>_xlfn.IFNA(IF(LEFT(D25,4)="J1B2",INDEX(SQIB_QSH!$G$2:$G$61,MATCH(_xlfn.NUMBERVALUE(RIGHT(D25,LEN(D25)-FIND(".",D25))),SQIB_QSH!$E$2:$E$61,0)),INDEX(SQIB_QSH!$G$2:$G$61,MATCH(_xlfn.NUMBERVALUE(RIGHT(D25,LEN(D25)-FIND(".",D25))),SQIB_QSH!$C$2:$C$61,0))),"")</f>
        <v/>
      </c>
      <c r="C25" s="28">
        <v>20</v>
      </c>
      <c r="D25" s="48" t="s">
        <v>105</v>
      </c>
      <c r="E25" s="6" t="s">
        <v>37</v>
      </c>
      <c r="F25" s="6"/>
      <c r="G25" s="22" t="s">
        <v>40</v>
      </c>
      <c r="H25" s="41" t="b">
        <v>0</v>
      </c>
      <c r="I25" s="160">
        <v>3.3</v>
      </c>
      <c r="J25" s="147"/>
    </row>
    <row r="26" spans="1:10">
      <c r="B26" s="6" t="str">
        <f>_xlfn.IFNA(IF(LEFT(D26,4)="J1B2",INDEX(SQIB_QSH!$G$2:$G$61,MATCH(_xlfn.NUMBERVALUE(RIGHT(D26,LEN(D26)-FIND(".",D26))),SQIB_QSH!$E$2:$E$61,0)),INDEX(SQIB_QSH!$G$2:$G$61,MATCH(_xlfn.NUMBERVALUE(RIGHT(D26,LEN(D26)-FIND(".",D26))),SQIB_QSH!$C$2:$C$61,0))),"")</f>
        <v/>
      </c>
      <c r="C26" s="28">
        <v>21</v>
      </c>
      <c r="D26" s="48" t="s">
        <v>74</v>
      </c>
      <c r="E26" s="6" t="s">
        <v>37</v>
      </c>
      <c r="F26" s="6"/>
      <c r="G26" s="22" t="s">
        <v>40</v>
      </c>
      <c r="H26" s="41" t="b">
        <v>0</v>
      </c>
      <c r="I26" s="160"/>
      <c r="J26" s="147"/>
    </row>
    <row r="27" spans="1:10">
      <c r="B27" s="6" t="str">
        <f>_xlfn.IFNA(IF(LEFT(D27,4)="J1B2",INDEX(SQIB_QSH!$G$2:$G$61,MATCH(_xlfn.NUMBERVALUE(RIGHT(D27,LEN(D27)-FIND(".",D27))),SQIB_QSH!$E$2:$E$61,0)),INDEX(SQIB_QSH!$G$2:$G$61,MATCH(_xlfn.NUMBERVALUE(RIGHT(D27,LEN(D27)-FIND(".",D27))),SQIB_QSH!$C$2:$C$61,0))),"")</f>
        <v/>
      </c>
      <c r="C27" s="28">
        <v>22</v>
      </c>
      <c r="D27" s="48" t="s">
        <v>75</v>
      </c>
      <c r="E27" s="27" t="s">
        <v>37</v>
      </c>
      <c r="G27" s="22" t="s">
        <v>40</v>
      </c>
      <c r="H27" s="41" t="b">
        <v>0</v>
      </c>
      <c r="I27" s="160"/>
      <c r="J27" s="148"/>
    </row>
    <row r="28" spans="1:10">
      <c r="A28" s="129"/>
      <c r="B28" s="129" t="str">
        <f>_xlfn.IFNA(IF(LEFT(D28,4)="J1B2",INDEX(SQIB_QSH!$G$2:$G$61,MATCH(_xlfn.NUMBERVALUE(RIGHT(D28,LEN(D28)-FIND(".",D28))),SQIB_QSH!$E$2:$E$61,0)),INDEX(SQIB_QSH!$G$2:$G$61,MATCH(_xlfn.NUMBERVALUE(RIGHT(D28,LEN(D28)-FIND(".",D28))),SQIB_QSH!$C$2:$C$61,0))),"")</f>
        <v/>
      </c>
      <c r="C28" s="130">
        <v>23</v>
      </c>
      <c r="D28" s="131" t="s">
        <v>76</v>
      </c>
      <c r="E28" s="129" t="s">
        <v>37</v>
      </c>
      <c r="F28" s="132"/>
      <c r="G28" s="132" t="s">
        <v>40</v>
      </c>
      <c r="H28" s="132" t="b">
        <v>0</v>
      </c>
      <c r="I28" s="161"/>
      <c r="J28" s="149"/>
    </row>
    <row r="29" spans="1:10">
      <c r="B29" s="6" t="str">
        <f>_xlfn.IFNA(IF(LEFT(D29,4)="J1B2",INDEX(SQIB_QSH!$G$2:$G$61,MATCH(_xlfn.NUMBERVALUE(RIGHT(D29,LEN(D29)-FIND(".",D29))),SQIB_QSH!$E$2:$E$61,0)),INDEX(SQIB_QSH!$G$2:$G$61,MATCH(_xlfn.NUMBERVALUE(RIGHT(D29,LEN(D29)-FIND(".",D29))),SQIB_QSH!$C$2:$C$61,0))),"")</f>
        <v/>
      </c>
      <c r="C29" s="28">
        <v>24</v>
      </c>
      <c r="D29" s="48" t="s">
        <v>77</v>
      </c>
      <c r="E29" s="6" t="s">
        <v>37</v>
      </c>
      <c r="G29" s="22" t="s">
        <v>40</v>
      </c>
      <c r="H29" s="41" t="b">
        <v>0</v>
      </c>
      <c r="I29" s="160">
        <v>3.3</v>
      </c>
      <c r="J29" s="148"/>
    </row>
    <row r="30" spans="1:10">
      <c r="B30" s="6" t="str">
        <f>_xlfn.IFNA(IF(LEFT(D30,4)="J1B2",INDEX(SQIB_QSH!$G$2:$G$61,MATCH(_xlfn.NUMBERVALUE(RIGHT(D30,LEN(D30)-FIND(".",D30))),SQIB_QSH!$E$2:$E$61,0)),INDEX(SQIB_QSH!$G$2:$G$61,MATCH(_xlfn.NUMBERVALUE(RIGHT(D30,LEN(D30)-FIND(".",D30))),SQIB_QSH!$C$2:$C$61,0))),"")</f>
        <v/>
      </c>
      <c r="C30" s="28">
        <v>25</v>
      </c>
      <c r="D30" s="48" t="s">
        <v>78</v>
      </c>
      <c r="E30" s="6" t="s">
        <v>37</v>
      </c>
      <c r="G30" s="22" t="s">
        <v>40</v>
      </c>
      <c r="H30" s="41" t="b">
        <v>0</v>
      </c>
      <c r="I30" s="160"/>
      <c r="J30" s="148"/>
    </row>
    <row r="31" spans="1:10">
      <c r="B31" s="6" t="str">
        <f>_xlfn.IFNA(IF(LEFT(D31,4)="J1B2",INDEX(SQIB_QSH!$G$2:$G$61,MATCH(_xlfn.NUMBERVALUE(RIGHT(D31,LEN(D31)-FIND(".",D31))),SQIB_QSH!$E$2:$E$61,0)),INDEX(SQIB_QSH!$G$2:$G$61,MATCH(_xlfn.NUMBERVALUE(RIGHT(D31,LEN(D31)-FIND(".",D31))),SQIB_QSH!$C$2:$C$61,0))),"")</f>
        <v/>
      </c>
      <c r="C31" s="28">
        <v>26</v>
      </c>
      <c r="D31" s="48" t="s">
        <v>79</v>
      </c>
      <c r="E31" s="6" t="s">
        <v>37</v>
      </c>
      <c r="G31" s="22" t="s">
        <v>40</v>
      </c>
      <c r="H31" s="41" t="b">
        <v>0</v>
      </c>
      <c r="I31" s="160"/>
      <c r="J31" s="148"/>
    </row>
    <row r="32" spans="1:10">
      <c r="A32" s="129"/>
      <c r="B32" s="129" t="str">
        <f>_xlfn.IFNA(IF(LEFT(D32,4)="J1B2",INDEX(SQIB_QSH!$G$2:$G$61,MATCH(_xlfn.NUMBERVALUE(RIGHT(D32,LEN(D32)-FIND(".",D32))),SQIB_QSH!$E$2:$E$61,0)),INDEX(SQIB_QSH!$G$2:$G$61,MATCH(_xlfn.NUMBERVALUE(RIGHT(D32,LEN(D32)-FIND(".",D32))),SQIB_QSH!$C$2:$C$61,0))),"")</f>
        <v/>
      </c>
      <c r="C32" s="130">
        <v>27</v>
      </c>
      <c r="D32" s="131" t="s">
        <v>80</v>
      </c>
      <c r="E32" s="129" t="s">
        <v>37</v>
      </c>
      <c r="F32" s="132"/>
      <c r="G32" s="132" t="s">
        <v>40</v>
      </c>
      <c r="H32" s="132" t="b">
        <v>0</v>
      </c>
      <c r="I32" s="161"/>
      <c r="J32" s="149"/>
    </row>
    <row r="33" spans="1:10" ht="12.75" customHeight="1">
      <c r="B33" s="6" t="str">
        <f>_xlfn.IFNA(IF(LEFT(D33,4)="J1B2",INDEX(SQIB_QSH!$G$2:$G$61,MATCH(_xlfn.NUMBERVALUE(RIGHT(D33,LEN(D33)-FIND(".",D33))),SQIB_QSH!$E$2:$E$61,0)),INDEX(SQIB_QSH!$G$2:$G$61,MATCH(_xlfn.NUMBERVALUE(RIGHT(D33,LEN(D33)-FIND(".",D33))),SQIB_QSH!$C$2:$C$61,0))),"")</f>
        <v/>
      </c>
      <c r="C33" s="28">
        <v>28</v>
      </c>
      <c r="D33" s="48" t="s">
        <v>81</v>
      </c>
      <c r="E33" s="6" t="s">
        <v>37</v>
      </c>
      <c r="G33" s="22" t="s">
        <v>40</v>
      </c>
      <c r="H33" s="41" t="b">
        <v>0</v>
      </c>
      <c r="I33" s="162">
        <v>3.3</v>
      </c>
      <c r="J33" s="150"/>
    </row>
    <row r="34" spans="1:10">
      <c r="B34" s="6" t="str">
        <f>_xlfn.IFNA(IF(LEFT(D34,4)="J1B2",INDEX(SQIB_QSH!$G$2:$G$61,MATCH(_xlfn.NUMBERVALUE(RIGHT(D34,LEN(D34)-FIND(".",D34))),SQIB_QSH!$E$2:$E$61,0)),INDEX(SQIB_QSH!$G$2:$G$61,MATCH(_xlfn.NUMBERVALUE(RIGHT(D34,LEN(D34)-FIND(".",D34))),SQIB_QSH!$C$2:$C$61,0))),"")</f>
        <v/>
      </c>
      <c r="C34" s="28">
        <v>29</v>
      </c>
      <c r="D34" s="48" t="s">
        <v>82</v>
      </c>
      <c r="E34" s="6" t="s">
        <v>37</v>
      </c>
      <c r="G34" s="22" t="s">
        <v>40</v>
      </c>
      <c r="H34" s="41" t="b">
        <v>0</v>
      </c>
      <c r="I34" s="162"/>
      <c r="J34" s="148"/>
    </row>
    <row r="35" spans="1:10">
      <c r="B35" s="6" t="str">
        <f>_xlfn.IFNA(IF(LEFT(D35,4)="J1B2",INDEX(SQIB_QSH!$G$2:$G$61,MATCH(_xlfn.NUMBERVALUE(RIGHT(D35,LEN(D35)-FIND(".",D35))),SQIB_QSH!$E$2:$E$61,0)),INDEX(SQIB_QSH!$G$2:$G$61,MATCH(_xlfn.NUMBERVALUE(RIGHT(D35,LEN(D35)-FIND(".",D35))),SQIB_QSH!$C$2:$C$61,0))),"")</f>
        <v/>
      </c>
      <c r="C35" s="28">
        <v>30</v>
      </c>
      <c r="D35" s="48" t="s">
        <v>83</v>
      </c>
      <c r="E35" s="6" t="s">
        <v>37</v>
      </c>
      <c r="G35" s="22" t="s">
        <v>40</v>
      </c>
      <c r="H35" s="41" t="b">
        <v>0</v>
      </c>
      <c r="I35" s="162"/>
      <c r="J35" s="148"/>
    </row>
    <row r="36" spans="1:10">
      <c r="A36" s="129"/>
      <c r="B36" s="129" t="str">
        <f>_xlfn.IFNA(IF(LEFT(D36,4)="J1B2",INDEX(SQIB_QSH!$G$2:$G$61,MATCH(_xlfn.NUMBERVALUE(RIGHT(D36,LEN(D36)-FIND(".",D36))),SQIB_QSH!$E$2:$E$61,0)),INDEX(SQIB_QSH!$G$2:$G$61,MATCH(_xlfn.NUMBERVALUE(RIGHT(D36,LEN(D36)-FIND(".",D36))),SQIB_QSH!$C$2:$C$61,0))),"")</f>
        <v/>
      </c>
      <c r="C36" s="130">
        <v>31</v>
      </c>
      <c r="D36" s="131" t="s">
        <v>84</v>
      </c>
      <c r="E36" s="129" t="s">
        <v>37</v>
      </c>
      <c r="F36" s="132"/>
      <c r="G36" s="132" t="s">
        <v>40</v>
      </c>
      <c r="H36" s="132" t="b">
        <v>0</v>
      </c>
      <c r="I36" s="163"/>
      <c r="J36" s="149"/>
    </row>
    <row r="37" spans="1:10">
      <c r="B37" s="6" t="str">
        <f>_xlfn.IFNA(IF(LEFT(D37,4)="J1B2",INDEX(SQIB_QSH!$G$2:$G$61,MATCH(_xlfn.NUMBERVALUE(RIGHT(D37,LEN(D37)-FIND(".",D37))),SQIB_QSH!$E$2:$E$61,0)),INDEX(SQIB_QSH!$G$2:$G$61,MATCH(_xlfn.NUMBERVALUE(RIGHT(D37,LEN(D37)-FIND(".",D37))),SQIB_QSH!$C$2:$C$61,0))),"")</f>
        <v/>
      </c>
      <c r="C37" s="28">
        <v>32</v>
      </c>
      <c r="D37" s="48" t="s">
        <v>85</v>
      </c>
      <c r="E37" s="6" t="s">
        <v>37</v>
      </c>
      <c r="G37" s="22" t="s">
        <v>40</v>
      </c>
      <c r="H37" s="41" t="b">
        <v>0</v>
      </c>
      <c r="I37" s="165">
        <v>1.8</v>
      </c>
      <c r="J37" s="148"/>
    </row>
    <row r="38" spans="1:10">
      <c r="B38" s="6" t="str">
        <f>_xlfn.IFNA(IF(LEFT(D38,4)="J1B2",INDEX(SQIB_QSH!$G$2:$G$61,MATCH(_xlfn.NUMBERVALUE(RIGHT(D38,LEN(D38)-FIND(".",D38))),SQIB_QSH!$E$2:$E$61,0)),INDEX(SQIB_QSH!$G$2:$G$61,MATCH(_xlfn.NUMBERVALUE(RIGHT(D38,LEN(D38)-FIND(".",D38))),SQIB_QSH!$C$2:$C$61,0))),"")</f>
        <v/>
      </c>
      <c r="C38" s="28">
        <v>33</v>
      </c>
      <c r="D38" s="48" t="s">
        <v>86</v>
      </c>
      <c r="E38" s="6" t="s">
        <v>37</v>
      </c>
      <c r="G38" s="22" t="s">
        <v>40</v>
      </c>
      <c r="H38" s="41" t="b">
        <v>0</v>
      </c>
      <c r="I38" s="165"/>
      <c r="J38" s="148"/>
    </row>
    <row r="39" spans="1:10">
      <c r="B39" s="6" t="str">
        <f>_xlfn.IFNA(IF(LEFT(D39,4)="J1B2",INDEX(SQIB_QSH!$G$2:$G$61,MATCH(_xlfn.NUMBERVALUE(RIGHT(D39,LEN(D39)-FIND(".",D39))),SQIB_QSH!$E$2:$E$61,0)),INDEX(SQIB_QSH!$G$2:$G$61,MATCH(_xlfn.NUMBERVALUE(RIGHT(D39,LEN(D39)-FIND(".",D39))),SQIB_QSH!$C$2:$C$61,0))),"")</f>
        <v>H_CD01_SPEED_CONFIG_STRAP_R</v>
      </c>
      <c r="C39" s="28">
        <v>34</v>
      </c>
      <c r="D39" s="48" t="s">
        <v>87</v>
      </c>
      <c r="E39" s="6" t="s">
        <v>209</v>
      </c>
      <c r="F39" s="22" t="s">
        <v>486</v>
      </c>
      <c r="G39" s="58" t="s">
        <v>486</v>
      </c>
      <c r="H39" s="41" t="b">
        <v>0</v>
      </c>
      <c r="I39" s="165"/>
      <c r="J39" s="141" t="s">
        <v>487</v>
      </c>
    </row>
    <row r="40" spans="1:10">
      <c r="A40" s="129"/>
      <c r="B40" s="129" t="str">
        <f>_xlfn.IFNA(IF(LEFT(D40,4)="J1B2",INDEX(SQIB_QSH!$G$2:$G$61,MATCH(_xlfn.NUMBERVALUE(RIGHT(D40,LEN(D40)-FIND(".",D40))),SQIB_QSH!$E$2:$E$61,0)),INDEX(SQIB_QSH!$G$2:$G$61,MATCH(_xlfn.NUMBERVALUE(RIGHT(D40,LEN(D40)-FIND(".",D40))),SQIB_QSH!$C$2:$C$61,0))),"")</f>
        <v>NC_PPV_IO09</v>
      </c>
      <c r="C40" s="130">
        <v>35</v>
      </c>
      <c r="D40" s="131" t="s">
        <v>88</v>
      </c>
      <c r="E40" s="129" t="s">
        <v>37</v>
      </c>
      <c r="F40" s="132"/>
      <c r="G40" s="132" t="s">
        <v>40</v>
      </c>
      <c r="H40" s="132" t="b">
        <v>0</v>
      </c>
      <c r="I40" s="166"/>
      <c r="J40" s="149"/>
    </row>
    <row r="41" spans="1:10">
      <c r="B41" s="6" t="str">
        <f>_xlfn.IFNA(IF(LEFT(D41,4)="J1B2",INDEX(SQIB_QSH!$G$2:$G$61,MATCH(_xlfn.NUMBERVALUE(RIGHT(D41,LEN(D41)-FIND(".",D41))),SQIB_QSH!$E$2:$E$61,0)),INDEX(SQIB_QSH!$G$2:$G$61,MATCH(_xlfn.NUMBERVALUE(RIGHT(D41,LEN(D41)-FIND(".",D41))),SQIB_QSH!$C$2:$C$61,0))),"")</f>
        <v>EV_AMC_BOOTLOADER_EN_N</v>
      </c>
      <c r="C41" s="28">
        <v>36</v>
      </c>
      <c r="D41" s="48" t="s">
        <v>89</v>
      </c>
      <c r="E41" s="6" t="s">
        <v>209</v>
      </c>
      <c r="F41" s="22" t="s">
        <v>486</v>
      </c>
      <c r="G41" s="22" t="s">
        <v>40</v>
      </c>
      <c r="H41" s="41" t="b">
        <v>0</v>
      </c>
      <c r="I41" s="160">
        <v>3.3</v>
      </c>
      <c r="J41" s="148"/>
    </row>
    <row r="42" spans="1:10">
      <c r="B42" s="6" t="str">
        <f>_xlfn.IFNA(IF(LEFT(D42,4)="J1B2",INDEX(SQIB_QSH!$G$2:$G$61,MATCH(_xlfn.NUMBERVALUE(RIGHT(D42,LEN(D42)-FIND(".",D42))),SQIB_QSH!$E$2:$E$61,0)),INDEX(SQIB_QSH!$G$2:$G$61,MATCH(_xlfn.NUMBERVALUE(RIGHT(D42,LEN(D42)-FIND(".",D42))),SQIB_QSH!$C$2:$C$61,0))),"")</f>
        <v>EV_GPU01_LVC3_CXL_MODE</v>
      </c>
      <c r="C42" s="28">
        <v>37</v>
      </c>
      <c r="D42" s="48" t="s">
        <v>90</v>
      </c>
      <c r="E42" s="6" t="s">
        <v>209</v>
      </c>
      <c r="F42" s="22" t="s">
        <v>486</v>
      </c>
      <c r="G42" s="22" t="s">
        <v>486</v>
      </c>
      <c r="H42" s="41" t="b">
        <v>0</v>
      </c>
      <c r="I42" s="160"/>
      <c r="J42" s="141" t="s">
        <v>488</v>
      </c>
    </row>
    <row r="43" spans="1:10">
      <c r="B43" s="6" t="str">
        <f>_xlfn.IFNA(IF(LEFT(D43,4)="J1B2",INDEX(SQIB_QSH!$G$2:$G$61,MATCH(_xlfn.NUMBERVALUE(RIGHT(D43,LEN(D43)-FIND(".",D43))),SQIB_QSH!$E$2:$E$61,0)),INDEX(SQIB_QSH!$G$2:$G$61,MATCH(_xlfn.NUMBERVALUE(RIGHT(D43,LEN(D43)-FIND(".",D43))),SQIB_QSH!$C$2:$C$61,0))),"")</f>
        <v>EV_LVC3_GPU0_RESETOUT_R_N</v>
      </c>
      <c r="C43" s="28">
        <v>38</v>
      </c>
      <c r="D43" s="48" t="s">
        <v>91</v>
      </c>
      <c r="E43" s="6" t="s">
        <v>212</v>
      </c>
      <c r="G43" s="22" t="s">
        <v>40</v>
      </c>
      <c r="H43" s="41" t="b">
        <v>0</v>
      </c>
      <c r="I43" s="160"/>
      <c r="J43" s="148"/>
    </row>
    <row r="44" spans="1:10">
      <c r="A44" s="129"/>
      <c r="B44" s="129" t="str">
        <f>_xlfn.IFNA(IF(LEFT(D44,4)="J1B2",INDEX(SQIB_QSH!$G$2:$G$61,MATCH(_xlfn.NUMBERVALUE(RIGHT(D44,LEN(D44)-FIND(".",D44))),SQIB_QSH!$E$2:$E$61,0)),INDEX(SQIB_QSH!$G$2:$G$61,MATCH(_xlfn.NUMBERVALUE(RIGHT(D44,LEN(D44)-FIND(".",D44))),SQIB_QSH!$C$2:$C$61,0))),"")</f>
        <v>EV_MFG_MODE_N</v>
      </c>
      <c r="C44" s="130">
        <v>39</v>
      </c>
      <c r="D44" s="131" t="s">
        <v>92</v>
      </c>
      <c r="E44" s="129" t="s">
        <v>209</v>
      </c>
      <c r="F44" s="132" t="s">
        <v>486</v>
      </c>
      <c r="G44" s="132" t="s">
        <v>40</v>
      </c>
      <c r="H44" s="132" t="b">
        <v>0</v>
      </c>
      <c r="I44" s="161"/>
      <c r="J44" s="149"/>
    </row>
    <row r="45" spans="1:10" ht="12.75" customHeight="1">
      <c r="B45" s="6" t="str">
        <f>_xlfn.IFNA(IF(LEFT(D45,4)="J1B2",INDEX(SQIB_QSH!$G$2:$G$61,MATCH(_xlfn.NUMBERVALUE(RIGHT(D45,LEN(D45)-FIND(".",D45))),SQIB_QSH!$E$2:$E$61,0)),INDEX(SQIB_QSH!$G$2:$G$61,MATCH(_xlfn.NUMBERVALUE(RIGHT(D45,LEN(D45)-FIND(".",D45))),SQIB_QSH!$C$2:$C$61,0))),"")</f>
        <v>EV_RST_GPU01_PERST_N</v>
      </c>
      <c r="C45" s="28">
        <v>40</v>
      </c>
      <c r="D45" s="48" t="s">
        <v>93</v>
      </c>
      <c r="E45" s="6" t="s">
        <v>212</v>
      </c>
      <c r="G45" s="22" t="s">
        <v>40</v>
      </c>
      <c r="H45" s="41" t="b">
        <v>0</v>
      </c>
      <c r="I45" s="162">
        <v>3.3</v>
      </c>
      <c r="J45" s="148"/>
    </row>
    <row r="46" spans="1:10">
      <c r="B46" s="6" t="str">
        <f>_xlfn.IFNA(IF(LEFT(D46,4)="J1B2",INDEX(SQIB_QSH!$G$2:$G$61,MATCH(_xlfn.NUMBERVALUE(RIGHT(D46,LEN(D46)-FIND(".",D46))),SQIB_QSH!$E$2:$E$61,0)),INDEX(SQIB_QSH!$G$2:$G$61,MATCH(_xlfn.NUMBERVALUE(RIGHT(D46,LEN(D46)-FIND(".",D46))),SQIB_QSH!$C$2:$C$61,0))),"")</f>
        <v>EV_GPU01_PUNIT_CATERR_R_N</v>
      </c>
      <c r="C46" s="28">
        <v>41</v>
      </c>
      <c r="D46" s="48" t="s">
        <v>94</v>
      </c>
      <c r="E46" s="6" t="s">
        <v>212</v>
      </c>
      <c r="G46" s="22" t="s">
        <v>40</v>
      </c>
      <c r="H46" s="41" t="b">
        <v>0</v>
      </c>
      <c r="I46" s="162"/>
      <c r="J46" s="151"/>
    </row>
    <row r="47" spans="1:10">
      <c r="B47" s="6" t="str">
        <f>_xlfn.IFNA(IF(LEFT(D47,4)="J1B2",INDEX(SQIB_QSH!$G$2:$G$61,MATCH(_xlfn.NUMBERVALUE(RIGHT(D47,LEN(D47)-FIND(".",D47))),SQIB_QSH!$E$2:$E$61,0)),INDEX(SQIB_QSH!$G$2:$G$61,MATCH(_xlfn.NUMBERVALUE(RIGHT(D47,LEN(D47)-FIND(".",D47))),SQIB_QSH!$C$2:$C$61,0))),"")</f>
        <v>EV_AMC_FBRK_N</v>
      </c>
      <c r="C47" s="28">
        <v>42</v>
      </c>
      <c r="D47" s="48" t="s">
        <v>95</v>
      </c>
      <c r="E47" s="6" t="s">
        <v>212</v>
      </c>
      <c r="G47" s="22" t="s">
        <v>40</v>
      </c>
      <c r="H47" s="41" t="b">
        <v>0</v>
      </c>
      <c r="I47" s="162"/>
      <c r="J47" s="151"/>
    </row>
    <row r="48" spans="1:10">
      <c r="A48" s="129"/>
      <c r="B48" s="129" t="str">
        <f>_xlfn.IFNA(IF(LEFT(D48,4)="J1B2",INDEX(SQIB_QSH!$G$2:$G$61,MATCH(_xlfn.NUMBERVALUE(RIGHT(D48,LEN(D48)-FIND(".",D48))),SQIB_QSH!$E$2:$E$61,0)),INDEX(SQIB_QSH!$G$2:$G$61,MATCH(_xlfn.NUMBERVALUE(RIGHT(D48,LEN(D48)-FIND(".",D48))),SQIB_QSH!$C$2:$C$61,0))),"")</f>
        <v>EV_GPU01_THERMTRIP_R_N</v>
      </c>
      <c r="C48" s="130">
        <v>43</v>
      </c>
      <c r="D48" s="131" t="s">
        <v>96</v>
      </c>
      <c r="E48" s="129" t="s">
        <v>212</v>
      </c>
      <c r="F48" s="132"/>
      <c r="G48" s="132" t="s">
        <v>40</v>
      </c>
      <c r="H48" s="132" t="b">
        <v>0</v>
      </c>
      <c r="I48" s="163"/>
      <c r="J48" s="152"/>
    </row>
    <row r="49" spans="1:10" ht="12.75" customHeight="1">
      <c r="B49" s="6" t="str">
        <f>_xlfn.IFNA(IF(LEFT(D49,4)="J1B2",INDEX(SQIB_QSH!$G$2:$G$61,MATCH(_xlfn.NUMBERVALUE(RIGHT(D49,LEN(D49)-FIND(".",D49))),SQIB_QSH!$E$2:$E$61,0)),INDEX(SQIB_QSH!$G$2:$G$61,MATCH(_xlfn.NUMBERVALUE(RIGHT(D49,LEN(D49)-FIND(".",D49))),SQIB_QSH!$C$2:$C$61,0))),"")</f>
        <v/>
      </c>
      <c r="C49" s="28">
        <v>44</v>
      </c>
      <c r="D49" s="48" t="s">
        <v>97</v>
      </c>
      <c r="E49" s="6" t="s">
        <v>37</v>
      </c>
      <c r="G49" s="22" t="s">
        <v>40</v>
      </c>
      <c r="H49" s="41" t="b">
        <v>0</v>
      </c>
      <c r="I49" s="162">
        <v>3.3</v>
      </c>
      <c r="J49" s="151"/>
    </row>
    <row r="50" spans="1:10">
      <c r="B50" s="6" t="str">
        <f>_xlfn.IFNA(IF(LEFT(D50,4)="J1B2",INDEX(SQIB_QSH!$G$2:$G$61,MATCH(_xlfn.NUMBERVALUE(RIGHT(D50,LEN(D50)-FIND(".",D50))),SQIB_QSH!$E$2:$E$61,0)),INDEX(SQIB_QSH!$G$2:$G$61,MATCH(_xlfn.NUMBERVALUE(RIGHT(D50,LEN(D50)-FIND(".",D50))),SQIB_QSH!$C$2:$C$61,0))),"")</f>
        <v/>
      </c>
      <c r="C50" s="28">
        <v>45</v>
      </c>
      <c r="D50" s="48" t="s">
        <v>98</v>
      </c>
      <c r="E50" s="6" t="s">
        <v>37</v>
      </c>
      <c r="G50" s="22" t="s">
        <v>40</v>
      </c>
      <c r="H50" s="41" t="b">
        <v>0</v>
      </c>
      <c r="I50" s="162"/>
      <c r="J50" s="151"/>
    </row>
    <row r="51" spans="1:10">
      <c r="B51" s="6" t="str">
        <f>_xlfn.IFNA(IF(LEFT(D51,4)="J1B2",INDEX(SQIB_QSH!$G$2:$G$61,MATCH(_xlfn.NUMBERVALUE(RIGHT(D51,LEN(D51)-FIND(".",D51))),SQIB_QSH!$E$2:$E$61,0)),INDEX(SQIB_QSH!$G$2:$G$61,MATCH(_xlfn.NUMBERVALUE(RIGHT(D51,LEN(D51)-FIND(".",D51))),SQIB_QSH!$C$2:$C$61,0))),"")</f>
        <v/>
      </c>
      <c r="C51" s="28">
        <v>46</v>
      </c>
      <c r="D51" s="48" t="s">
        <v>99</v>
      </c>
      <c r="E51" s="6" t="s">
        <v>37</v>
      </c>
      <c r="G51" s="22" t="s">
        <v>40</v>
      </c>
      <c r="H51" s="41" t="b">
        <v>0</v>
      </c>
      <c r="I51" s="162"/>
      <c r="J51" s="151"/>
    </row>
    <row r="52" spans="1:10">
      <c r="A52" s="129"/>
      <c r="B52" s="129" t="str">
        <f>_xlfn.IFNA(IF(LEFT(D52,4)="J1B2",INDEX(SQIB_QSH!$G$2:$G$61,MATCH(_xlfn.NUMBERVALUE(RIGHT(D52,LEN(D52)-FIND(".",D52))),SQIB_QSH!$E$2:$E$61,0)),INDEX(SQIB_QSH!$G$2:$G$61,MATCH(_xlfn.NUMBERVALUE(RIGHT(D52,LEN(D52)-FIND(".",D52))),SQIB_QSH!$C$2:$C$61,0))),"")</f>
        <v/>
      </c>
      <c r="C52" s="130">
        <v>47</v>
      </c>
      <c r="D52" s="131" t="s">
        <v>100</v>
      </c>
      <c r="E52" s="129" t="s">
        <v>37</v>
      </c>
      <c r="F52" s="132"/>
      <c r="G52" s="132" t="s">
        <v>40</v>
      </c>
      <c r="H52" s="132" t="b">
        <v>0</v>
      </c>
      <c r="I52" s="163"/>
      <c r="J52" s="152"/>
    </row>
    <row r="53" spans="1:10">
      <c r="A53" s="6" t="s">
        <v>489</v>
      </c>
      <c r="B53" s="6" t="str">
        <f>_xlfn.IFNA(IF(LEFT(D53,4)="J1B2",INDEX(SQIB_QSH!$G$2:$G$61,MATCH(_xlfn.NUMBERVALUE(RIGHT(D53,LEN(D53)-FIND(".",D53))),SQIB_QSH!$E$2:$E$61,0)),INDEX(SQIB_QSH!$G$2:$G$61,MATCH(_xlfn.NUMBERVALUE(RIGHT(D53,LEN(D53)-FIND(".",D53))),SQIB_QSH!$C$2:$C$61,0))),"")</f>
        <v/>
      </c>
      <c r="C53" s="28">
        <v>48</v>
      </c>
      <c r="D53" s="48" t="s">
        <v>101</v>
      </c>
      <c r="E53" s="6" t="s">
        <v>209</v>
      </c>
      <c r="F53" s="22" t="s">
        <v>501</v>
      </c>
      <c r="G53" s="22" t="s">
        <v>40</v>
      </c>
      <c r="H53" s="41" t="b">
        <v>0</v>
      </c>
      <c r="I53" s="160">
        <v>3.3</v>
      </c>
      <c r="J53" s="151" t="s">
        <v>491</v>
      </c>
    </row>
    <row r="54" spans="1:10">
      <c r="A54" s="6" t="s">
        <v>490</v>
      </c>
      <c r="B54" s="6" t="str">
        <f>_xlfn.IFNA(IF(LEFT(D54,4)="J1B2",INDEX(SQIB_QSH!$G$2:$G$61,MATCH(_xlfn.NUMBERVALUE(RIGHT(D54,LEN(D54)-FIND(".",D54))),SQIB_QSH!$E$2:$E$61,0)),INDEX(SQIB_QSH!$G$2:$G$61,MATCH(_xlfn.NUMBERVALUE(RIGHT(D54,LEN(D54)-FIND(".",D54))),SQIB_QSH!$C$2:$C$61,0))),"")</f>
        <v/>
      </c>
      <c r="C54" s="28">
        <v>49</v>
      </c>
      <c r="D54" s="48" t="s">
        <v>102</v>
      </c>
      <c r="E54" s="6" t="s">
        <v>209</v>
      </c>
      <c r="F54" s="22" t="s">
        <v>501</v>
      </c>
      <c r="G54" s="22" t="s">
        <v>40</v>
      </c>
      <c r="H54" s="41" t="b">
        <v>0</v>
      </c>
      <c r="I54" s="160"/>
      <c r="J54" s="151" t="s">
        <v>491</v>
      </c>
    </row>
    <row r="55" spans="1:10">
      <c r="B55" s="6" t="str">
        <f>_xlfn.IFNA(IF(LEFT(D55,4)="J1B2",INDEX(SQIB_QSH!$G$2:$G$61,MATCH(_xlfn.NUMBERVALUE(RIGHT(D55,LEN(D55)-FIND(".",D55))),SQIB_QSH!$E$2:$E$61,0)),INDEX(SQIB_QSH!$G$2:$G$61,MATCH(_xlfn.NUMBERVALUE(RIGHT(D55,LEN(D55)-FIND(".",D55))),SQIB_QSH!$C$2:$C$61,0))),"")</f>
        <v/>
      </c>
      <c r="C55" s="28">
        <v>50</v>
      </c>
      <c r="D55" s="48" t="s">
        <v>103</v>
      </c>
      <c r="E55" s="6" t="s">
        <v>37</v>
      </c>
      <c r="G55" s="22" t="s">
        <v>40</v>
      </c>
      <c r="H55" s="41" t="b">
        <v>0</v>
      </c>
      <c r="I55" s="160"/>
      <c r="J55" s="151"/>
    </row>
    <row r="56" spans="1:10" ht="13.8" thickBot="1">
      <c r="A56" s="134"/>
      <c r="B56" s="134" t="str">
        <f>_xlfn.IFNA(IF(LEFT(D56,4)="J1B2",INDEX(SQIB_QSH!$G$2:$G$61,MATCH(_xlfn.NUMBERVALUE(RIGHT(D56,LEN(D56)-FIND(".",D56))),SQIB_QSH!$E$2:$E$61,0)),INDEX(SQIB_QSH!$G$2:$G$61,MATCH(_xlfn.NUMBERVALUE(RIGHT(D56,LEN(D56)-FIND(".",D56))),SQIB_QSH!$C$2:$C$61,0))),"")</f>
        <v/>
      </c>
      <c r="C56" s="135">
        <v>51</v>
      </c>
      <c r="D56" s="136" t="s">
        <v>104</v>
      </c>
      <c r="E56" s="134" t="s">
        <v>37</v>
      </c>
      <c r="F56" s="137"/>
      <c r="G56" s="137" t="s">
        <v>40</v>
      </c>
      <c r="H56" s="137" t="b">
        <v>0</v>
      </c>
      <c r="I56" s="164"/>
      <c r="J56" s="153"/>
    </row>
  </sheetData>
  <sheetProtection algorithmName="SHA-512" hashValue="1Rb2dhTljObIKBAYT+X0RclOyMz0k6N9NAQ29qYj4YKFbl34nqTLdDtW88+TygkwbiBYVHgf1A6xCMcUUyF9jg==" saltValue="Hh46ucRtp4hd5tzfQRqJHg==" spinCount="100000" sheet="1" formatCells="0" formatColumns="0" formatRows="0" insertHyperlinks="0"/>
  <protectedRanges>
    <protectedRange sqref="A22:A26 B22:B56 A5:B21" name="DIO_Name_2_1"/>
    <protectedRange sqref="J25:J26 F5:G26 I5:J24 I25:I56" name="DIO_Setup"/>
    <protectedRange sqref="H5:H56" name="DIO_Name_2_1_2_1"/>
  </protectedRanges>
  <mergeCells count="13">
    <mergeCell ref="I25:I28"/>
    <mergeCell ref="I53:I56"/>
    <mergeCell ref="I29:I32"/>
    <mergeCell ref="I33:I36"/>
    <mergeCell ref="I37:I40"/>
    <mergeCell ref="I41:I44"/>
    <mergeCell ref="I45:I48"/>
    <mergeCell ref="I49:I52"/>
    <mergeCell ref="I5:I8"/>
    <mergeCell ref="I9:I12"/>
    <mergeCell ref="I13:I16"/>
    <mergeCell ref="I17:I20"/>
    <mergeCell ref="I21:I24"/>
  </mergeCells>
  <phoneticPr fontId="6" type="noConversion"/>
  <conditionalFormatting sqref="E1:E4 E57:E65502">
    <cfRule type="cellIs" dxfId="17" priority="4" stopIfTrue="1" operator="equal">
      <formula>"Not Used"</formula>
    </cfRule>
  </conditionalFormatting>
  <conditionalFormatting sqref="E1:E1048576">
    <cfRule type="cellIs" dxfId="16" priority="3" stopIfTrue="1" operator="equal">
      <formula>"Not Used"</formula>
    </cfRule>
  </conditionalFormatting>
  <conditionalFormatting sqref="H5:H6">
    <cfRule type="cellIs" dxfId="15" priority="2" stopIfTrue="1" operator="equal">
      <formula>TRUE</formula>
    </cfRule>
  </conditionalFormatting>
  <conditionalFormatting sqref="H7:H56">
    <cfRule type="cellIs" dxfId="14" priority="1" stopIfTrue="1" operator="equal">
      <formula>TRUE</formula>
    </cfRule>
  </conditionalFormatting>
  <dataValidations count="4">
    <dataValidation type="list" allowBlank="1" showInputMessage="1" showErrorMessage="1" sqref="E5:E56" xr:uid="{00000000-0002-0000-0100-000000000000}">
      <formula1>"Input, Output, Not Used"</formula1>
    </dataValidation>
    <dataValidation type="list" allowBlank="1" showInputMessage="1" showErrorMessage="1" sqref="F5:F56" xr:uid="{00000000-0002-0000-0100-000001000000}">
      <formula1>"High, Low"</formula1>
    </dataValidation>
    <dataValidation type="list" allowBlank="1" showInputMessage="1" showErrorMessage="1" sqref="G5:G56" xr:uid="{00000000-0002-0000-0100-000002000000}">
      <formula1>"High, Low, Hi-Z"</formula1>
    </dataValidation>
    <dataValidation type="list" allowBlank="1" showInputMessage="1" showErrorMessage="1" sqref="H983011:H983090 H65507:H65586 H131043:H131122 H196579:H196658 H262115:H262194 H327651:H327730 H393187:H393266 H458723:H458802 H524259:H524338 H589795:H589874 H655331:H655410 H720867:H720946 H786403:H786482 H851939:H852018 H917475:H917554 H5:H56" xr:uid="{00000000-0002-0000-0100-000003000000}">
      <formula1>"True, False"</formula1>
    </dataValidation>
  </dataValidations>
  <pageMargins left="0.5" right="0.5" top="1" bottom="1" header="0.5" footer="0.5"/>
  <pageSetup scale="83" fitToHeight="2" orientation="portrait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63"/>
  <sheetViews>
    <sheetView workbookViewId="0">
      <pane ySplit="4" topLeftCell="A5" activePane="bottomLeft" state="frozen"/>
      <selection pane="bottomLeft" activeCell="O17" sqref="O17"/>
    </sheetView>
  </sheetViews>
  <sheetFormatPr defaultColWidth="9.109375" defaultRowHeight="13.2"/>
  <cols>
    <col min="1" max="1" width="36.5546875" style="6" bestFit="1" customWidth="1"/>
    <col min="2" max="2" width="36.5546875" style="7" bestFit="1" customWidth="1"/>
    <col min="3" max="3" width="10.88671875" style="23" bestFit="1" customWidth="1"/>
    <col min="4" max="4" width="10.88671875" style="23" customWidth="1"/>
    <col min="5" max="5" width="10.33203125" style="23" bestFit="1" customWidth="1"/>
    <col min="6" max="6" width="11.88671875" style="23" bestFit="1" customWidth="1"/>
    <col min="7" max="7" width="8.6640625" style="22" bestFit="1" customWidth="1"/>
    <col min="8" max="8" width="8.5546875" style="7" bestFit="1" customWidth="1"/>
    <col min="9" max="10" width="6.88671875" style="33" bestFit="1" customWidth="1"/>
    <col min="11" max="11" width="10.109375" style="22" bestFit="1" customWidth="1"/>
    <col min="12" max="14" width="10.109375" style="41" customWidth="1"/>
    <col min="15" max="15" width="38.6640625" style="7" customWidth="1"/>
    <col min="16" max="16384" width="9.109375" style="7"/>
  </cols>
  <sheetData>
    <row r="1" spans="1:15">
      <c r="A1" s="29" t="s">
        <v>9</v>
      </c>
      <c r="B1" s="29"/>
      <c r="G1" s="23"/>
      <c r="H1" s="23"/>
      <c r="I1" s="23"/>
      <c r="J1" s="23"/>
      <c r="K1" s="23"/>
      <c r="L1" s="23"/>
      <c r="M1" s="23"/>
      <c r="N1" s="23"/>
      <c r="O1" s="23"/>
    </row>
    <row r="2" spans="1:15">
      <c r="A2" s="30" t="s">
        <v>30</v>
      </c>
      <c r="B2" s="31"/>
      <c r="G2" s="23"/>
      <c r="H2" s="23"/>
      <c r="I2" s="23"/>
      <c r="J2" s="23"/>
      <c r="K2" s="23"/>
      <c r="L2" s="23"/>
      <c r="M2" s="23"/>
      <c r="N2" s="23"/>
      <c r="O2" s="23"/>
    </row>
    <row r="3" spans="1:15" ht="15.6">
      <c r="A3" s="32" t="s">
        <v>7</v>
      </c>
      <c r="B3" s="24"/>
      <c r="G3" s="25"/>
      <c r="H3" s="24"/>
      <c r="I3" s="38"/>
      <c r="J3" s="38"/>
      <c r="K3" s="25"/>
      <c r="L3" s="23"/>
      <c r="M3" s="23"/>
      <c r="N3" s="23"/>
      <c r="O3" s="24"/>
    </row>
    <row r="4" spans="1:15" s="34" customFormat="1" ht="27" thickBot="1">
      <c r="A4" s="26" t="s">
        <v>28</v>
      </c>
      <c r="B4" s="26" t="s">
        <v>8</v>
      </c>
      <c r="C4" s="50" t="s">
        <v>29</v>
      </c>
      <c r="D4" s="50" t="s">
        <v>50</v>
      </c>
      <c r="E4" s="50" t="s">
        <v>49</v>
      </c>
      <c r="F4" s="50" t="s">
        <v>146</v>
      </c>
      <c r="G4" s="26" t="s">
        <v>35</v>
      </c>
      <c r="H4" s="36" t="s">
        <v>4</v>
      </c>
      <c r="I4" s="39" t="s">
        <v>5</v>
      </c>
      <c r="J4" s="39" t="s">
        <v>6</v>
      </c>
      <c r="K4" s="26" t="s">
        <v>141</v>
      </c>
      <c r="L4" s="26" t="s">
        <v>144</v>
      </c>
      <c r="M4" s="60" t="s">
        <v>181</v>
      </c>
      <c r="N4" s="60" t="s">
        <v>182</v>
      </c>
      <c r="O4" s="36" t="s">
        <v>0</v>
      </c>
    </row>
    <row r="5" spans="1:15">
      <c r="A5" s="35"/>
      <c r="B5" s="59" t="str">
        <f>_xlfn.IFNA(IF(LEFT(E5,4)="J1B2",INDEX(SQIB_QSH!$G$2:$G$61,MATCH(_xlfn.NUMBERVALUE(RIGHT(E5,LEN(E5)-FIND(".",E5))),SQIB_QSH!$E$2:$E$61,0)),INDEX(SQIB_QSH!$G$2:$G$61,MATCH(_xlfn.NUMBERVALUE(RIGHT(E5,LEN(E5)-FIND(".",E5))),SQIB_QSH!$C$2:$C$61,0))),"")</f>
        <v>P3V3_AUX_PPV</v>
      </c>
      <c r="C5" s="37">
        <v>0</v>
      </c>
      <c r="D5" s="37" t="s">
        <v>51</v>
      </c>
      <c r="E5" s="37" t="s">
        <v>106</v>
      </c>
      <c r="F5" s="37" t="s">
        <v>149</v>
      </c>
      <c r="G5" s="22" t="s">
        <v>212</v>
      </c>
      <c r="H5" s="6">
        <v>1</v>
      </c>
      <c r="I5" s="61">
        <v>-0.2</v>
      </c>
      <c r="J5" s="155">
        <v>3.63</v>
      </c>
      <c r="K5" s="22" t="b">
        <v>0</v>
      </c>
      <c r="L5" s="33"/>
      <c r="M5" s="22" t="b">
        <v>0</v>
      </c>
      <c r="O5" s="18"/>
    </row>
    <row r="6" spans="1:15">
      <c r="A6" s="35"/>
      <c r="B6" s="59" t="str">
        <f>_xlfn.IFNA(IF(LEFT(E6,4)="J1B2",INDEX(SQIB_QSH!$G$2:$G$61,MATCH(_xlfn.NUMBERVALUE(RIGHT(E6,LEN(E6)-FIND(".",E6))),SQIB_QSH!$E$2:$E$61,0)),INDEX(SQIB_QSH!$G$2:$G$61,MATCH(_xlfn.NUMBERVALUE(RIGHT(E6,LEN(E6)-FIND(".",E6))),SQIB_QSH!$C$2:$C$61,0))),"")</f>
        <v>EV_P12V_SYS</v>
      </c>
      <c r="C6" s="37">
        <v>1</v>
      </c>
      <c r="D6" s="37" t="s">
        <v>51</v>
      </c>
      <c r="E6" s="37" t="s">
        <v>107</v>
      </c>
      <c r="F6" s="37" t="s">
        <v>150</v>
      </c>
      <c r="G6" s="22" t="s">
        <v>212</v>
      </c>
      <c r="H6" s="6">
        <v>2</v>
      </c>
      <c r="I6" s="61">
        <v>-0.2</v>
      </c>
      <c r="J6" s="155">
        <v>13.2</v>
      </c>
      <c r="K6" s="22" t="b">
        <v>1</v>
      </c>
      <c r="L6" s="41">
        <v>0.5</v>
      </c>
      <c r="M6" s="22" t="b">
        <v>0</v>
      </c>
      <c r="O6" s="18"/>
    </row>
    <row r="7" spans="1:15">
      <c r="A7" s="35"/>
      <c r="B7" s="59" t="str">
        <f>_xlfn.IFNA(IF(LEFT(E7,4)="J1B2",INDEX(SQIB_QSH!$G$2:$G$61,MATCH(_xlfn.NUMBERVALUE(RIGHT(E7,LEN(E7)-FIND(".",E7))),SQIB_QSH!$E$2:$E$61,0)),INDEX(SQIB_QSH!$G$2:$G$61,MATCH(_xlfn.NUMBERVALUE(RIGHT(E7,LEN(E7)-FIND(".",E7))),SQIB_QSH!$C$2:$C$61,0))),"")</f>
        <v>EV_P5V</v>
      </c>
      <c r="C7" s="37">
        <v>2</v>
      </c>
      <c r="D7" s="37" t="s">
        <v>51</v>
      </c>
      <c r="E7" s="37" t="s">
        <v>108</v>
      </c>
      <c r="F7" s="37" t="s">
        <v>151</v>
      </c>
      <c r="G7" s="22" t="s">
        <v>212</v>
      </c>
      <c r="H7" s="6">
        <v>1</v>
      </c>
      <c r="I7" s="61">
        <v>-0.2</v>
      </c>
      <c r="J7" s="155">
        <v>5.5</v>
      </c>
      <c r="K7" s="22" t="b">
        <v>1</v>
      </c>
      <c r="L7" s="41">
        <v>0.3</v>
      </c>
      <c r="M7" s="22" t="b">
        <v>0</v>
      </c>
      <c r="O7" s="18"/>
    </row>
    <row r="8" spans="1:15">
      <c r="A8" s="35"/>
      <c r="B8" s="59" t="str">
        <f>_xlfn.IFNA(IF(LEFT(E8,4)="J1B2",INDEX(SQIB_QSH!$G$2:$G$61,MATCH(_xlfn.NUMBERVALUE(RIGHT(E8,LEN(E8)-FIND(".",E8))),SQIB_QSH!$E$2:$E$61,0)),INDEX(SQIB_QSH!$G$2:$G$61,MATCH(_xlfn.NUMBERVALUE(RIGHT(E8,LEN(E8)-FIND(".",E8))),SQIB_QSH!$C$2:$C$61,0))),"")</f>
        <v>EV_PVPP</v>
      </c>
      <c r="C8" s="37">
        <v>3</v>
      </c>
      <c r="D8" s="37" t="s">
        <v>51</v>
      </c>
      <c r="E8" s="37" t="s">
        <v>109</v>
      </c>
      <c r="F8" s="37" t="s">
        <v>152</v>
      </c>
      <c r="G8" s="22" t="s">
        <v>212</v>
      </c>
      <c r="H8" s="6">
        <v>1</v>
      </c>
      <c r="I8" s="61">
        <v>-0.2</v>
      </c>
      <c r="J8" s="155">
        <v>3</v>
      </c>
      <c r="K8" s="22" t="b">
        <v>0</v>
      </c>
      <c r="M8" s="22" t="b">
        <v>0</v>
      </c>
      <c r="O8" s="18"/>
    </row>
    <row r="9" spans="1:15">
      <c r="A9" s="35"/>
      <c r="B9" s="59" t="str">
        <f>_xlfn.IFNA(IF(LEFT(E9,4)="J1B2",INDEX(SQIB_QSH!$G$2:$G$61,MATCH(_xlfn.NUMBERVALUE(RIGHT(E9,LEN(E9)-FIND(".",E9))),SQIB_QSH!$E$2:$E$61,0)),INDEX(SQIB_QSH!$G$2:$G$61,MATCH(_xlfn.NUMBERVALUE(RIGHT(E9,LEN(E9)-FIND(".",E9))),SQIB_QSH!$C$2:$C$61,0))),"")</f>
        <v>EV_P1V8_VCCFA_EHV</v>
      </c>
      <c r="C9" s="37">
        <v>4</v>
      </c>
      <c r="D9" s="37" t="s">
        <v>51</v>
      </c>
      <c r="E9" s="37" t="s">
        <v>110</v>
      </c>
      <c r="F9" s="37" t="s">
        <v>153</v>
      </c>
      <c r="G9" s="22" t="s">
        <v>212</v>
      </c>
      <c r="H9" s="6">
        <v>1</v>
      </c>
      <c r="I9" s="61">
        <v>-0.2</v>
      </c>
      <c r="J9" s="155">
        <v>1.98</v>
      </c>
      <c r="K9" s="22" t="b">
        <v>0</v>
      </c>
      <c r="M9" s="22" t="b">
        <v>0</v>
      </c>
      <c r="O9" s="18"/>
    </row>
    <row r="10" spans="1:15">
      <c r="A10" s="35"/>
      <c r="B10" s="59" t="str">
        <f>_xlfn.IFNA(IF(LEFT(E10,4)="J1B2",INDEX(SQIB_QSH!$G$2:$G$61,MATCH(_xlfn.NUMBERVALUE(RIGHT(E10,LEN(E10)-FIND(".",E10))),SQIB_QSH!$E$2:$E$61,0)),INDEX(SQIB_QSH!$G$2:$G$61,MATCH(_xlfn.NUMBERVALUE(RIGHT(E10,LEN(E10)-FIND(".",E10))),SQIB_QSH!$C$2:$C$61,0))),"")</f>
        <v>EV_P1V8_VCCFA_EHV_FIVRA</v>
      </c>
      <c r="C10" s="37">
        <v>5</v>
      </c>
      <c r="D10" s="37" t="s">
        <v>51</v>
      </c>
      <c r="E10" s="37" t="s">
        <v>111</v>
      </c>
      <c r="F10" s="37" t="s">
        <v>154</v>
      </c>
      <c r="G10" s="22" t="s">
        <v>212</v>
      </c>
      <c r="H10" s="6">
        <v>1</v>
      </c>
      <c r="I10" s="61">
        <v>-0.2</v>
      </c>
      <c r="J10" s="155">
        <v>1.98</v>
      </c>
      <c r="K10" s="22" t="b">
        <v>0</v>
      </c>
      <c r="M10" s="22" t="b">
        <v>0</v>
      </c>
      <c r="O10" s="18"/>
    </row>
    <row r="11" spans="1:15">
      <c r="A11" s="35"/>
      <c r="B11" s="59" t="str">
        <f>_xlfn.IFNA(IF(LEFT(E11,4)="J1B2",INDEX(SQIB_QSH!$G$2:$G$61,MATCH(_xlfn.NUMBERVALUE(RIGHT(E11,LEN(E11)-FIND(".",E11))),SQIB_QSH!$E$2:$E$61,0)),INDEX(SQIB_QSH!$G$2:$G$61,MATCH(_xlfn.NUMBERVALUE(RIGHT(E11,LEN(E11)-FIND(".",E11))),SQIB_QSH!$C$2:$C$61,0))),"")</f>
        <v>EV_P0V75_VCCANR_VDD_CD0</v>
      </c>
      <c r="C11" s="37">
        <v>6</v>
      </c>
      <c r="D11" s="37" t="s">
        <v>51</v>
      </c>
      <c r="E11" s="37" t="s">
        <v>112</v>
      </c>
      <c r="F11" s="37" t="s">
        <v>155</v>
      </c>
      <c r="G11" s="22" t="s">
        <v>212</v>
      </c>
      <c r="H11" s="6">
        <v>1</v>
      </c>
      <c r="I11" s="61">
        <v>-0.2</v>
      </c>
      <c r="J11" s="155">
        <v>0.9</v>
      </c>
      <c r="K11" s="22" t="b">
        <v>0</v>
      </c>
      <c r="M11" s="22" t="b">
        <v>0</v>
      </c>
      <c r="O11" s="18"/>
    </row>
    <row r="12" spans="1:15">
      <c r="A12" s="35"/>
      <c r="B12" s="59" t="str">
        <f>_xlfn.IFNA(IF(LEFT(E12,4)="J1B2",INDEX(SQIB_QSH!$G$2:$G$61,MATCH(_xlfn.NUMBERVALUE(RIGHT(E12,LEN(E12)-FIND(".",E12))),SQIB_QSH!$E$2:$E$61,0)),INDEX(SQIB_QSH!$G$2:$G$61,MATCH(_xlfn.NUMBERVALUE(RIGHT(E12,LEN(E12)-FIND(".",E12))),SQIB_QSH!$C$2:$C$61,0))),"")</f>
        <v>EV_P0V75_VCCANR_VDD_CD1</v>
      </c>
      <c r="C12" s="37">
        <v>7</v>
      </c>
      <c r="D12" s="37" t="s">
        <v>51</v>
      </c>
      <c r="E12" s="53" t="s">
        <v>147</v>
      </c>
      <c r="F12" s="37" t="s">
        <v>156</v>
      </c>
      <c r="G12" s="22" t="s">
        <v>212</v>
      </c>
      <c r="H12" s="6">
        <v>1</v>
      </c>
      <c r="I12" s="61">
        <v>-0.2</v>
      </c>
      <c r="J12" s="155">
        <v>0.9</v>
      </c>
      <c r="K12" s="22" t="b">
        <v>0</v>
      </c>
      <c r="M12" s="22" t="b">
        <v>0</v>
      </c>
      <c r="O12" s="18"/>
    </row>
    <row r="13" spans="1:15">
      <c r="A13" s="35"/>
      <c r="B13" s="59"/>
      <c r="C13" s="37">
        <v>8</v>
      </c>
      <c r="D13" s="37"/>
      <c r="E13" s="37"/>
      <c r="F13" s="37"/>
      <c r="G13" s="49" t="s">
        <v>37</v>
      </c>
      <c r="H13" s="62">
        <v>1</v>
      </c>
      <c r="I13" s="63"/>
      <c r="J13" s="63"/>
      <c r="K13" s="64" t="b">
        <v>0</v>
      </c>
      <c r="L13" s="65"/>
      <c r="M13" s="64" t="b">
        <v>0</v>
      </c>
      <c r="N13" s="65"/>
      <c r="O13" s="66" t="s">
        <v>128</v>
      </c>
    </row>
    <row r="14" spans="1:15">
      <c r="A14" s="35"/>
      <c r="B14" s="59" t="str">
        <f>_xlfn.IFNA(IF(LEFT(E14,4)="J1B2",INDEX(SQIB_QSH!$G$2:$G$61,MATCH(_xlfn.NUMBERVALUE(RIGHT(E14,LEN(E14)-FIND(".",E14))),SQIB_QSH!$E$2:$E$61,0)),INDEX(SQIB_QSH!$G$2:$G$61,MATCH(_xlfn.NUMBERVALUE(RIGHT(E14,LEN(E14)-FIND(".",E14))),SQIB_QSH!$C$2:$C$61,0))),"")</f>
        <v>EV_P0V75_VCCANR_IO_CD0</v>
      </c>
      <c r="C14" s="37">
        <v>9</v>
      </c>
      <c r="D14" s="37" t="s">
        <v>51</v>
      </c>
      <c r="E14" s="37" t="s">
        <v>113</v>
      </c>
      <c r="F14" s="37" t="s">
        <v>157</v>
      </c>
      <c r="G14" s="22" t="s">
        <v>212</v>
      </c>
      <c r="H14" s="6">
        <v>1</v>
      </c>
      <c r="I14" s="61">
        <v>-0.2</v>
      </c>
      <c r="J14" s="155">
        <v>0.9</v>
      </c>
      <c r="K14" s="22" t="b">
        <v>0</v>
      </c>
      <c r="M14" s="22" t="b">
        <v>0</v>
      </c>
      <c r="O14" s="18"/>
    </row>
    <row r="15" spans="1:15">
      <c r="A15" s="35"/>
      <c r="B15" s="59" t="str">
        <f>_xlfn.IFNA(IF(LEFT(E15,4)="J1B2",INDEX(SQIB_QSH!$G$2:$G$61,MATCH(_xlfn.NUMBERVALUE(RIGHT(E15,LEN(E15)-FIND(".",E15))),SQIB_QSH!$E$2:$E$61,0)),INDEX(SQIB_QSH!$G$2:$G$61,MATCH(_xlfn.NUMBERVALUE(RIGHT(E15,LEN(E15)-FIND(".",E15))),SQIB_QSH!$C$2:$C$61,0))),"")</f>
        <v>EV_P0V75_VCCANR_IO_CD1</v>
      </c>
      <c r="C15" s="37">
        <v>10</v>
      </c>
      <c r="D15" s="37" t="s">
        <v>51</v>
      </c>
      <c r="E15" s="37" t="s">
        <v>114</v>
      </c>
      <c r="F15" s="37" t="s">
        <v>158</v>
      </c>
      <c r="G15" s="22" t="s">
        <v>212</v>
      </c>
      <c r="H15" s="6">
        <v>1</v>
      </c>
      <c r="I15" s="61">
        <v>-0.2</v>
      </c>
      <c r="J15" s="155">
        <v>0.9</v>
      </c>
      <c r="K15" s="22" t="b">
        <v>0</v>
      </c>
      <c r="M15" s="22" t="b">
        <v>0</v>
      </c>
      <c r="O15" s="18"/>
    </row>
    <row r="16" spans="1:15">
      <c r="A16" s="35"/>
      <c r="B16" s="59" t="str">
        <f>_xlfn.IFNA(IF(LEFT(E16,4)="J1B2",INDEX(SQIB_QSH!$G$2:$G$61,MATCH(_xlfn.NUMBERVALUE(RIGHT(E16,LEN(E16)-FIND(".",E16))),SQIB_QSH!$E$2:$E$61,0)),INDEX(SQIB_QSH!$G$2:$G$61,MATCH(_xlfn.NUMBERVALUE(RIGHT(E16,LEN(E16)-FIND(".",E16))),SQIB_QSH!$C$2:$C$61,0))),"")</f>
        <v>EV_P0V85_VCCANR_DIG_CD0</v>
      </c>
      <c r="C16" s="37">
        <v>11</v>
      </c>
      <c r="D16" s="37" t="s">
        <v>51</v>
      </c>
      <c r="E16" s="37" t="s">
        <v>115</v>
      </c>
      <c r="F16" s="37" t="s">
        <v>159</v>
      </c>
      <c r="G16" s="22" t="s">
        <v>212</v>
      </c>
      <c r="H16" s="6">
        <v>1</v>
      </c>
      <c r="I16" s="61">
        <v>-0.2</v>
      </c>
      <c r="J16" s="155">
        <v>1</v>
      </c>
      <c r="K16" s="22" t="b">
        <v>0</v>
      </c>
      <c r="M16" s="22" t="b">
        <v>0</v>
      </c>
      <c r="O16" s="18"/>
    </row>
    <row r="17" spans="1:15">
      <c r="A17" s="18"/>
      <c r="B17" s="59" t="str">
        <f>_xlfn.IFNA(IF(LEFT(E17,4)="J1B2",INDEX(SQIB_QSH!$G$2:$G$61,MATCH(_xlfn.NUMBERVALUE(RIGHT(E17,LEN(E17)-FIND(".",E17))),SQIB_QSH!$E$2:$E$61,0)),INDEX(SQIB_QSH!$G$2:$G$61,MATCH(_xlfn.NUMBERVALUE(RIGHT(E17,LEN(E17)-FIND(".",E17))),SQIB_QSH!$C$2:$C$61,0))),"")</f>
        <v>EV_P0V85_VCCANR_DIG_CD1</v>
      </c>
      <c r="C17" s="37">
        <v>12</v>
      </c>
      <c r="D17" s="37" t="s">
        <v>51</v>
      </c>
      <c r="E17" s="37" t="s">
        <v>116</v>
      </c>
      <c r="F17" s="37" t="s">
        <v>160</v>
      </c>
      <c r="G17" s="22" t="s">
        <v>212</v>
      </c>
      <c r="H17" s="6">
        <v>1</v>
      </c>
      <c r="I17" s="61">
        <v>-0.2</v>
      </c>
      <c r="J17" s="155">
        <v>1</v>
      </c>
      <c r="K17" s="22" t="b">
        <v>0</v>
      </c>
      <c r="M17" s="22" t="b">
        <v>0</v>
      </c>
      <c r="O17" s="18"/>
    </row>
    <row r="18" spans="1:15">
      <c r="A18" s="18"/>
      <c r="B18" s="59" t="str">
        <f>_xlfn.IFNA(IF(LEFT(E18,4)="J1B2",INDEX(SQIB_QSH!$G$2:$G$61,MATCH(_xlfn.NUMBERVALUE(RIGHT(E18,LEN(E18)-FIND(".",E18))),SQIB_QSH!$E$2:$E$61,0)),INDEX(SQIB_QSH!$G$2:$G$61,MATCH(_xlfn.NUMBERVALUE(RIGHT(E18,LEN(E18)-FIND(".",E18))),SQIB_QSH!$C$2:$C$61,0))),"")</f>
        <v>EV_PVCCINFAON</v>
      </c>
      <c r="C18" s="37">
        <v>13</v>
      </c>
      <c r="D18" s="37" t="s">
        <v>51</v>
      </c>
      <c r="E18" s="37" t="s">
        <v>117</v>
      </c>
      <c r="F18" s="37" t="s">
        <v>161</v>
      </c>
      <c r="G18" s="22" t="s">
        <v>212</v>
      </c>
      <c r="H18" s="6">
        <v>1</v>
      </c>
      <c r="I18" s="61">
        <v>-0.2</v>
      </c>
      <c r="J18" s="155">
        <v>1.1000000000000001</v>
      </c>
      <c r="K18" s="22" t="b">
        <v>0</v>
      </c>
      <c r="M18" s="22" t="b">
        <v>0</v>
      </c>
      <c r="O18" s="18"/>
    </row>
    <row r="19" spans="1:15">
      <c r="A19" s="18"/>
      <c r="B19" s="59" t="str">
        <f>_xlfn.IFNA(IF(LEFT(E19,4)="J1B2",INDEX(SQIB_QSH!$G$2:$G$61,MATCH(_xlfn.NUMBERVALUE(RIGHT(E19,LEN(E19)-FIND(".",E19))),SQIB_QSH!$E$2:$E$61,0)),INDEX(SQIB_QSH!$G$2:$G$61,MATCH(_xlfn.NUMBERVALUE(RIGHT(E19,LEN(E19)-FIND(".",E19))),SQIB_QSH!$C$2:$C$61,0))),"")</f>
        <v>EV_PVCCFUSE</v>
      </c>
      <c r="C19" s="37">
        <v>14</v>
      </c>
      <c r="D19" s="37" t="s">
        <v>51</v>
      </c>
      <c r="E19" s="37" t="s">
        <v>118</v>
      </c>
      <c r="F19" s="37" t="s">
        <v>162</v>
      </c>
      <c r="G19" s="22" t="s">
        <v>212</v>
      </c>
      <c r="H19" s="6">
        <v>1</v>
      </c>
      <c r="I19" s="61">
        <v>-0.2</v>
      </c>
      <c r="J19" s="155">
        <v>1.6</v>
      </c>
      <c r="K19" s="22" t="b">
        <v>0</v>
      </c>
      <c r="M19" s="22" t="b">
        <v>0</v>
      </c>
      <c r="O19" s="18"/>
    </row>
    <row r="20" spans="1:15">
      <c r="A20" s="18"/>
      <c r="B20" s="59" t="str">
        <f>_xlfn.IFNA(IF(LEFT(E20,4)="J1B2",INDEX(SQIB_QSH!$G$2:$G$61,MATCH(_xlfn.NUMBERVALUE(RIGHT(E20,LEN(E20)-FIND(".",E20))),SQIB_QSH!$E$2:$E$61,0)),INDEX(SQIB_QSH!$G$2:$G$61,MATCH(_xlfn.NUMBERVALUE(RIGHT(E20,LEN(E20)-FIND(".",E20))),SQIB_QSH!$C$2:$C$61,0))),"")</f>
        <v>EV_VSENSE_PVCCIN_CPU0_SKT_VSEN</v>
      </c>
      <c r="C20" s="37">
        <v>15</v>
      </c>
      <c r="D20" s="37" t="s">
        <v>51</v>
      </c>
      <c r="E20" s="37" t="s">
        <v>119</v>
      </c>
      <c r="F20" s="37" t="s">
        <v>163</v>
      </c>
      <c r="G20" s="22" t="s">
        <v>37</v>
      </c>
      <c r="H20" s="6">
        <v>1</v>
      </c>
      <c r="I20" s="61"/>
      <c r="J20" s="61"/>
      <c r="K20" s="22" t="b">
        <v>0</v>
      </c>
      <c r="M20" s="22" t="b">
        <v>0</v>
      </c>
      <c r="O20" s="59"/>
    </row>
    <row r="21" spans="1:15">
      <c r="A21" s="18"/>
      <c r="B21" s="59" t="str">
        <f>_xlfn.IFNA(IF(LEFT(E21,4)="J1B2",INDEX(SQIB_QSH!$G$2:$G$61,MATCH(_xlfn.NUMBERVALUE(RIGHT(E21,LEN(E21)-FIND(".",E21))),SQIB_QSH!$E$2:$E$61,0)),INDEX(SQIB_QSH!$G$2:$G$61,MATCH(_xlfn.NUMBERVALUE(RIGHT(E21,LEN(E21)-FIND(".",E21))),SQIB_QSH!$C$2:$C$61,0))),"")</f>
        <v>EV_PPV_PVCCIN_CPU0</v>
      </c>
      <c r="C21" s="37">
        <v>16</v>
      </c>
      <c r="D21" s="37" t="s">
        <v>51</v>
      </c>
      <c r="E21" s="37" t="s">
        <v>120</v>
      </c>
      <c r="F21" s="37" t="s">
        <v>164</v>
      </c>
      <c r="G21" s="22" t="s">
        <v>37</v>
      </c>
      <c r="H21" s="6">
        <v>1</v>
      </c>
      <c r="I21" s="61"/>
      <c r="J21" s="61"/>
      <c r="K21" s="22" t="b">
        <v>0</v>
      </c>
      <c r="M21" s="22" t="b">
        <v>0</v>
      </c>
      <c r="O21" s="59"/>
    </row>
    <row r="22" spans="1:15">
      <c r="A22" s="18"/>
      <c r="B22" s="59"/>
      <c r="C22" s="37">
        <v>17</v>
      </c>
      <c r="D22" s="37"/>
      <c r="E22" s="37"/>
      <c r="F22" s="37"/>
      <c r="G22" s="49" t="s">
        <v>37</v>
      </c>
      <c r="H22" s="62">
        <v>1</v>
      </c>
      <c r="I22" s="63"/>
      <c r="J22" s="63"/>
      <c r="K22" s="64" t="b">
        <v>0</v>
      </c>
      <c r="L22" s="65"/>
      <c r="M22" s="64" t="b">
        <v>0</v>
      </c>
      <c r="N22" s="65"/>
      <c r="O22" s="66" t="s">
        <v>129</v>
      </c>
    </row>
    <row r="23" spans="1:15">
      <c r="A23" s="18"/>
      <c r="B23" s="59" t="str">
        <f>_xlfn.IFNA(IF(LEFT(E23,4)="J1B2",INDEX(SQIB_QSH!$G$2:$G$61,MATCH(_xlfn.NUMBERVALUE(RIGHT(E23,LEN(E23)-FIND(".",E23))),SQIB_QSH!$E$2:$E$61,0)),INDEX(SQIB_QSH!$G$2:$G$61,MATCH(_xlfn.NUMBERVALUE(RIGHT(E23,LEN(E23)-FIND(".",E23))),SQIB_QSH!$C$2:$C$61,0))),"")</f>
        <v>EV_P0V85_VCCANR_MDFI_CD0</v>
      </c>
      <c r="C23" s="37">
        <v>18</v>
      </c>
      <c r="D23" s="37" t="s">
        <v>51</v>
      </c>
      <c r="E23" s="37" t="s">
        <v>121</v>
      </c>
      <c r="F23" s="37" t="s">
        <v>165</v>
      </c>
      <c r="G23" s="22" t="s">
        <v>212</v>
      </c>
      <c r="H23" s="6">
        <v>1</v>
      </c>
      <c r="I23" s="61">
        <v>-0.2</v>
      </c>
      <c r="J23" s="155">
        <v>1</v>
      </c>
      <c r="K23" s="22" t="b">
        <v>0</v>
      </c>
      <c r="M23" s="22" t="b">
        <v>0</v>
      </c>
      <c r="O23" s="18"/>
    </row>
    <row r="24" spans="1:15">
      <c r="A24" s="18"/>
      <c r="B24" s="59" t="str">
        <f>_xlfn.IFNA(IF(LEFT(E24,4)="J1B2",INDEX(SQIB_QSH!$G$2:$G$61,MATCH(_xlfn.NUMBERVALUE(RIGHT(E24,LEN(E24)-FIND(".",E24))),SQIB_QSH!$E$2:$E$61,0)),INDEX(SQIB_QSH!$G$2:$G$61,MATCH(_xlfn.NUMBERVALUE(RIGHT(E24,LEN(E24)-FIND(".",E24))),SQIB_QSH!$C$2:$C$61,0))),"")</f>
        <v>EV_P0V85_VCCANR_MDFI_CD1</v>
      </c>
      <c r="C24" s="37">
        <v>19</v>
      </c>
      <c r="D24" s="37" t="s">
        <v>51</v>
      </c>
      <c r="E24" s="37" t="s">
        <v>174</v>
      </c>
      <c r="F24" s="37" t="s">
        <v>166</v>
      </c>
      <c r="G24" s="22" t="s">
        <v>212</v>
      </c>
      <c r="H24" s="6">
        <v>1</v>
      </c>
      <c r="I24" s="61">
        <v>-0.2</v>
      </c>
      <c r="J24" s="155">
        <v>1</v>
      </c>
      <c r="K24" s="22" t="b">
        <v>0</v>
      </c>
      <c r="M24" s="22" t="b">
        <v>0</v>
      </c>
      <c r="O24" s="18"/>
    </row>
    <row r="25" spans="1:15">
      <c r="A25" s="18"/>
      <c r="B25" s="59" t="str">
        <f>_xlfn.IFNA(IF(LEFT(E25,4)="J1B2",INDEX(SQIB_QSH!$G$2:$G$61,MATCH(_xlfn.NUMBERVALUE(RIGHT(E25,LEN(E25)-FIND(".",E25))),SQIB_QSH!$E$2:$E$61,0)),INDEX(SQIB_QSH!$G$2:$G$61,MATCH(_xlfn.NUMBERVALUE(RIGHT(E25,LEN(E25)-FIND(".",E25))),SQIB_QSH!$C$2:$C$61,0))),"")</f>
        <v>EV_PVCCIN0</v>
      </c>
      <c r="C25" s="37">
        <v>20</v>
      </c>
      <c r="D25" s="37" t="s">
        <v>51</v>
      </c>
      <c r="E25" s="37" t="s">
        <v>122</v>
      </c>
      <c r="F25" s="37" t="s">
        <v>167</v>
      </c>
      <c r="G25" s="22" t="s">
        <v>212</v>
      </c>
      <c r="H25" s="6">
        <v>1</v>
      </c>
      <c r="I25" s="61">
        <v>-0.2</v>
      </c>
      <c r="J25" s="155">
        <v>2</v>
      </c>
      <c r="K25" s="22" t="b">
        <v>0</v>
      </c>
      <c r="M25" s="22" t="b">
        <v>0</v>
      </c>
      <c r="O25" s="18"/>
    </row>
    <row r="26" spans="1:15">
      <c r="A26" s="18"/>
      <c r="B26" s="59" t="str">
        <f>_xlfn.IFNA(IF(LEFT(E26,4)="J1B2",INDEX(SQIB_QSH!$G$2:$G$61,MATCH(_xlfn.NUMBERVALUE(RIGHT(E26,LEN(E26)-FIND(".",E26))),SQIB_QSH!$E$2:$E$61,0)),INDEX(SQIB_QSH!$G$2:$G$61,MATCH(_xlfn.NUMBERVALUE(RIGHT(E26,LEN(E26)-FIND(".",E26))),SQIB_QSH!$C$2:$C$61,0))),"")</f>
        <v>EV_PVCCIN1</v>
      </c>
      <c r="C26" s="37">
        <v>21</v>
      </c>
      <c r="D26" s="37" t="s">
        <v>51</v>
      </c>
      <c r="E26" s="37" t="s">
        <v>123</v>
      </c>
      <c r="F26" s="37" t="s">
        <v>168</v>
      </c>
      <c r="G26" s="22" t="s">
        <v>212</v>
      </c>
      <c r="H26" s="6">
        <v>1</v>
      </c>
      <c r="I26" s="61">
        <v>-0.2</v>
      </c>
      <c r="J26" s="155">
        <v>2</v>
      </c>
      <c r="K26" s="22" t="b">
        <v>0</v>
      </c>
      <c r="M26" s="22" t="b">
        <v>0</v>
      </c>
      <c r="O26" s="18"/>
    </row>
    <row r="27" spans="1:15">
      <c r="A27" s="59" t="s">
        <v>492</v>
      </c>
      <c r="B27" s="59" t="str">
        <f>_xlfn.IFNA(IF(LEFT(E27,4)="J1B2",INDEX(SQIB_QSH!$G$2:$G$61,MATCH(_xlfn.NUMBERVALUE(RIGHT(E27,LEN(E27)-FIND(".",E27))),SQIB_QSH!$E$2:$E$61,0)),INDEX(SQIB_QSH!$G$2:$G$61,MATCH(_xlfn.NUMBERVALUE(RIGHT(E27,LEN(E27)-FIND(".",E27))),SQIB_QSH!$C$2:$C$61,0))),"")</f>
        <v/>
      </c>
      <c r="C27" s="37">
        <v>22</v>
      </c>
      <c r="D27" s="37" t="s">
        <v>51</v>
      </c>
      <c r="E27" s="37" t="s">
        <v>124</v>
      </c>
      <c r="F27" s="37" t="s">
        <v>169</v>
      </c>
      <c r="G27" s="22" t="s">
        <v>212</v>
      </c>
      <c r="H27" s="6">
        <v>1</v>
      </c>
      <c r="I27" s="61">
        <v>-0.2</v>
      </c>
      <c r="J27" s="155">
        <v>3.63</v>
      </c>
      <c r="K27" s="22" t="b">
        <v>0</v>
      </c>
      <c r="M27" s="22" t="b">
        <v>0</v>
      </c>
      <c r="O27" s="59" t="s">
        <v>496</v>
      </c>
    </row>
    <row r="28" spans="1:15">
      <c r="A28" s="59" t="s">
        <v>493</v>
      </c>
      <c r="B28" s="59" t="str">
        <f>_xlfn.IFNA(IF(LEFT(E28,4)="J1B2",INDEX(SQIB_QSH!$G$2:$G$61,MATCH(_xlfn.NUMBERVALUE(RIGHT(E28,LEN(E28)-FIND(".",E28))),SQIB_QSH!$E$2:$E$61,0)),INDEX(SQIB_QSH!$G$2:$G$61,MATCH(_xlfn.NUMBERVALUE(RIGHT(E28,LEN(E28)-FIND(".",E28))),SQIB_QSH!$C$2:$C$61,0))),"")</f>
        <v/>
      </c>
      <c r="C28" s="37">
        <v>23</v>
      </c>
      <c r="D28" s="37" t="s">
        <v>51</v>
      </c>
      <c r="E28" s="37" t="s">
        <v>125</v>
      </c>
      <c r="F28" s="37" t="s">
        <v>170</v>
      </c>
      <c r="G28" s="22" t="s">
        <v>212</v>
      </c>
      <c r="H28" s="6">
        <v>1</v>
      </c>
      <c r="I28" s="61">
        <v>-0.2</v>
      </c>
      <c r="J28" s="155">
        <v>5.5</v>
      </c>
      <c r="K28" s="22" t="b">
        <v>0</v>
      </c>
      <c r="M28" s="22" t="b">
        <v>0</v>
      </c>
      <c r="O28" s="59" t="s">
        <v>497</v>
      </c>
    </row>
    <row r="29" spans="1:15">
      <c r="A29" s="59" t="s">
        <v>494</v>
      </c>
      <c r="B29" s="59" t="str">
        <f>_xlfn.IFNA(IF(LEFT(E29,4)="J1B2",INDEX(SQIB_QSH!$G$2:$G$61,MATCH(_xlfn.NUMBERVALUE(RIGHT(E29,LEN(E29)-FIND(".",E29))),SQIB_QSH!$E$2:$E$61,0)),INDEX(SQIB_QSH!$G$2:$G$61,MATCH(_xlfn.NUMBERVALUE(RIGHT(E29,LEN(E29)-FIND(".",E29))),SQIB_QSH!$C$2:$C$61,0))),"")</f>
        <v/>
      </c>
      <c r="C29" s="37">
        <v>24</v>
      </c>
      <c r="D29" s="37" t="s">
        <v>51</v>
      </c>
      <c r="E29" s="37" t="s">
        <v>126</v>
      </c>
      <c r="F29" s="37" t="s">
        <v>171</v>
      </c>
      <c r="G29" s="22" t="s">
        <v>212</v>
      </c>
      <c r="H29" s="6">
        <v>1</v>
      </c>
      <c r="I29" s="61">
        <v>-0.2</v>
      </c>
      <c r="J29" s="155">
        <v>5.5</v>
      </c>
      <c r="K29" s="22" t="b">
        <v>0</v>
      </c>
      <c r="M29" s="22" t="b">
        <v>0</v>
      </c>
      <c r="O29" s="59" t="s">
        <v>498</v>
      </c>
    </row>
    <row r="30" spans="1:15">
      <c r="A30" s="59" t="s">
        <v>495</v>
      </c>
      <c r="B30" s="59" t="str">
        <f>_xlfn.IFNA(IF(LEFT(E30,4)="J1B2",INDEX(SQIB_QSH!$G$2:$G$61,MATCH(_xlfn.NUMBERVALUE(RIGHT(E30,LEN(E30)-FIND(".",E30))),SQIB_QSH!$E$2:$E$61,0)),INDEX(SQIB_QSH!$G$2:$G$61,MATCH(_xlfn.NUMBERVALUE(RIGHT(E30,LEN(E30)-FIND(".",E30))),SQIB_QSH!$C$2:$C$61,0))),"")</f>
        <v/>
      </c>
      <c r="C30" s="37">
        <v>25</v>
      </c>
      <c r="D30" s="37" t="s">
        <v>51</v>
      </c>
      <c r="E30" s="37" t="s">
        <v>127</v>
      </c>
      <c r="F30" s="37" t="s">
        <v>172</v>
      </c>
      <c r="G30" s="22" t="s">
        <v>212</v>
      </c>
      <c r="H30" s="6">
        <v>1</v>
      </c>
      <c r="I30" s="61">
        <v>-0.2</v>
      </c>
      <c r="J30" s="155">
        <v>3.63</v>
      </c>
      <c r="K30" s="22" t="b">
        <v>0</v>
      </c>
      <c r="M30" s="22" t="b">
        <v>0</v>
      </c>
      <c r="O30" s="59" t="s">
        <v>499</v>
      </c>
    </row>
    <row r="31" spans="1:15">
      <c r="A31" s="18"/>
      <c r="B31" s="59"/>
      <c r="C31" s="37">
        <v>0</v>
      </c>
      <c r="D31" s="37" t="s">
        <v>52</v>
      </c>
      <c r="E31" s="37" t="s">
        <v>130</v>
      </c>
      <c r="F31" s="37"/>
      <c r="G31" s="22" t="s">
        <v>37</v>
      </c>
      <c r="H31" s="6">
        <v>1</v>
      </c>
      <c r="I31" s="61"/>
      <c r="J31" s="61"/>
      <c r="K31" s="22" t="b">
        <v>0</v>
      </c>
      <c r="M31" s="22" t="b">
        <v>0</v>
      </c>
      <c r="O31" s="18"/>
    </row>
    <row r="32" spans="1:15">
      <c r="A32" s="18"/>
      <c r="B32" s="59"/>
      <c r="C32" s="37">
        <v>1</v>
      </c>
      <c r="D32" s="37" t="s">
        <v>52</v>
      </c>
      <c r="E32" s="37" t="s">
        <v>131</v>
      </c>
      <c r="F32" s="37"/>
      <c r="G32" s="22" t="s">
        <v>37</v>
      </c>
      <c r="H32" s="6">
        <v>1</v>
      </c>
      <c r="I32" s="61"/>
      <c r="J32" s="61"/>
      <c r="K32" s="22" t="b">
        <v>0</v>
      </c>
      <c r="M32" s="22" t="b">
        <v>0</v>
      </c>
      <c r="O32" s="18"/>
    </row>
    <row r="33" spans="1:15">
      <c r="A33" s="35"/>
      <c r="B33" s="59"/>
      <c r="C33" s="37">
        <v>2</v>
      </c>
      <c r="D33" s="37" t="s">
        <v>52</v>
      </c>
      <c r="E33" s="37" t="s">
        <v>132</v>
      </c>
      <c r="F33" s="37"/>
      <c r="G33" s="22" t="s">
        <v>37</v>
      </c>
      <c r="H33" s="6">
        <v>1</v>
      </c>
      <c r="I33" s="61"/>
      <c r="J33" s="61"/>
      <c r="K33" s="22" t="b">
        <v>0</v>
      </c>
      <c r="M33" s="22" t="b">
        <v>0</v>
      </c>
      <c r="O33" s="18"/>
    </row>
    <row r="34" spans="1:15">
      <c r="A34" s="35"/>
      <c r="B34" s="59"/>
      <c r="C34" s="37">
        <v>3</v>
      </c>
      <c r="D34" s="37" t="s">
        <v>52</v>
      </c>
      <c r="E34" s="53" t="s">
        <v>148</v>
      </c>
      <c r="F34" s="37"/>
      <c r="G34" s="22" t="s">
        <v>37</v>
      </c>
      <c r="H34" s="6">
        <v>1</v>
      </c>
      <c r="I34" s="61"/>
      <c r="J34" s="61"/>
      <c r="K34" s="22" t="b">
        <v>0</v>
      </c>
      <c r="M34" s="22" t="b">
        <v>0</v>
      </c>
      <c r="O34" s="18"/>
    </row>
    <row r="35" spans="1:15">
      <c r="A35" s="35"/>
      <c r="B35" s="59"/>
      <c r="C35" s="37">
        <v>4</v>
      </c>
      <c r="D35" s="37" t="s">
        <v>52</v>
      </c>
      <c r="E35" s="37" t="s">
        <v>133</v>
      </c>
      <c r="F35" s="37"/>
      <c r="G35" s="22" t="s">
        <v>37</v>
      </c>
      <c r="H35" s="6">
        <v>1</v>
      </c>
      <c r="I35" s="61"/>
      <c r="J35" s="61"/>
      <c r="K35" s="22" t="b">
        <v>0</v>
      </c>
      <c r="M35" s="22" t="b">
        <v>0</v>
      </c>
      <c r="O35" s="18"/>
    </row>
    <row r="36" spans="1:15">
      <c r="A36" s="35"/>
      <c r="B36" s="59"/>
      <c r="C36" s="37">
        <v>5</v>
      </c>
      <c r="D36" s="37" t="s">
        <v>52</v>
      </c>
      <c r="E36" s="37" t="s">
        <v>134</v>
      </c>
      <c r="F36" s="37"/>
      <c r="G36" s="22" t="s">
        <v>37</v>
      </c>
      <c r="H36" s="6">
        <v>1</v>
      </c>
      <c r="I36" s="61"/>
      <c r="J36" s="61"/>
      <c r="K36" s="22" t="b">
        <v>0</v>
      </c>
      <c r="M36" s="22" t="b">
        <v>0</v>
      </c>
      <c r="O36" s="18"/>
    </row>
    <row r="37" spans="1:15">
      <c r="A37" s="35"/>
      <c r="B37" s="59"/>
      <c r="C37" s="37">
        <v>6</v>
      </c>
      <c r="D37" s="37" t="s">
        <v>52</v>
      </c>
      <c r="E37" s="37" t="s">
        <v>135</v>
      </c>
      <c r="F37" s="37"/>
      <c r="G37" s="22" t="s">
        <v>37</v>
      </c>
      <c r="H37" s="6">
        <v>1</v>
      </c>
      <c r="I37" s="61"/>
      <c r="J37" s="61"/>
      <c r="K37" s="22" t="b">
        <v>0</v>
      </c>
      <c r="M37" s="22" t="b">
        <v>0</v>
      </c>
      <c r="O37" s="18"/>
    </row>
    <row r="38" spans="1:15">
      <c r="A38" s="154" t="s">
        <v>265</v>
      </c>
      <c r="B38" s="59"/>
      <c r="C38" s="37">
        <v>7</v>
      </c>
      <c r="D38" s="37" t="s">
        <v>52</v>
      </c>
      <c r="E38" s="37" t="s">
        <v>136</v>
      </c>
      <c r="F38" s="37"/>
      <c r="G38" s="22" t="s">
        <v>212</v>
      </c>
      <c r="H38" s="6">
        <v>1</v>
      </c>
      <c r="I38" s="61">
        <v>-0.2</v>
      </c>
      <c r="J38" s="155">
        <v>2</v>
      </c>
      <c r="K38" s="22" t="b">
        <v>0</v>
      </c>
      <c r="M38" s="22" t="b">
        <v>0</v>
      </c>
      <c r="O38" s="18"/>
    </row>
    <row r="39" spans="1:15">
      <c r="A39" s="35"/>
      <c r="B39" s="59"/>
      <c r="C39" s="37">
        <v>8</v>
      </c>
      <c r="D39" s="37" t="s">
        <v>52</v>
      </c>
      <c r="E39" s="37" t="s">
        <v>137</v>
      </c>
      <c r="F39" s="37"/>
      <c r="G39" s="22" t="s">
        <v>37</v>
      </c>
      <c r="H39" s="6">
        <v>1</v>
      </c>
      <c r="I39" s="61"/>
      <c r="J39" s="61"/>
      <c r="K39" s="22" t="b">
        <v>0</v>
      </c>
      <c r="M39" s="22" t="b">
        <v>0</v>
      </c>
      <c r="O39" s="18"/>
    </row>
    <row r="40" spans="1:15">
      <c r="A40" s="35"/>
      <c r="B40" s="59"/>
      <c r="C40" s="37">
        <v>9</v>
      </c>
      <c r="D40" s="37" t="s">
        <v>52</v>
      </c>
      <c r="E40" s="37" t="s">
        <v>138</v>
      </c>
      <c r="F40" s="37"/>
      <c r="G40" s="22" t="s">
        <v>37</v>
      </c>
      <c r="H40" s="6">
        <v>1</v>
      </c>
      <c r="I40" s="61"/>
      <c r="J40" s="61"/>
      <c r="K40" s="22" t="b">
        <v>0</v>
      </c>
      <c r="M40" s="22" t="b">
        <v>0</v>
      </c>
      <c r="O40" s="18"/>
    </row>
    <row r="41" spans="1:15">
      <c r="A41" s="35"/>
      <c r="B41" s="59"/>
      <c r="C41" s="37">
        <v>10</v>
      </c>
      <c r="D41" s="37" t="s">
        <v>52</v>
      </c>
      <c r="E41" s="37" t="s">
        <v>139</v>
      </c>
      <c r="F41" s="37"/>
      <c r="G41" s="22" t="s">
        <v>37</v>
      </c>
      <c r="H41" s="6">
        <v>1</v>
      </c>
      <c r="I41" s="61"/>
      <c r="J41" s="61"/>
      <c r="K41" s="22" t="b">
        <v>0</v>
      </c>
      <c r="M41" s="22" t="b">
        <v>0</v>
      </c>
      <c r="O41" s="18"/>
    </row>
    <row r="42" spans="1:15">
      <c r="A42" s="35"/>
      <c r="B42" s="59"/>
      <c r="C42" s="37">
        <v>11</v>
      </c>
      <c r="D42" s="37" t="s">
        <v>52</v>
      </c>
      <c r="E42" s="37" t="s">
        <v>140</v>
      </c>
      <c r="F42" s="37"/>
      <c r="G42" s="22" t="s">
        <v>37</v>
      </c>
      <c r="H42" s="6">
        <v>1</v>
      </c>
      <c r="I42" s="61"/>
      <c r="J42" s="61"/>
      <c r="K42" s="22" t="b">
        <v>0</v>
      </c>
      <c r="M42" s="22" t="b">
        <v>0</v>
      </c>
      <c r="O42" s="18"/>
    </row>
    <row r="43" spans="1:15">
      <c r="G43" s="21"/>
      <c r="K43" s="21"/>
    </row>
    <row r="44" spans="1:15">
      <c r="G44" s="21"/>
      <c r="K44" s="21"/>
    </row>
    <row r="45" spans="1:15">
      <c r="G45" s="21"/>
      <c r="K45" s="21"/>
    </row>
    <row r="46" spans="1:15">
      <c r="G46" s="21"/>
      <c r="K46" s="21"/>
    </row>
    <row r="47" spans="1:15">
      <c r="G47" s="21"/>
      <c r="K47" s="21"/>
    </row>
    <row r="48" spans="1:15">
      <c r="G48" s="21"/>
      <c r="K48" s="21"/>
    </row>
    <row r="49" spans="7:11">
      <c r="G49" s="21"/>
      <c r="K49" s="21"/>
    </row>
    <row r="50" spans="7:11">
      <c r="G50" s="21"/>
      <c r="K50" s="21"/>
    </row>
    <row r="51" spans="7:11">
      <c r="G51" s="21"/>
      <c r="K51" s="21"/>
    </row>
    <row r="52" spans="7:11">
      <c r="G52" s="21"/>
      <c r="K52" s="21"/>
    </row>
    <row r="53" spans="7:11">
      <c r="G53" s="21"/>
      <c r="K53" s="21"/>
    </row>
    <row r="54" spans="7:11">
      <c r="G54" s="21"/>
      <c r="K54" s="21"/>
    </row>
    <row r="55" spans="7:11">
      <c r="G55" s="21"/>
      <c r="K55" s="21"/>
    </row>
    <row r="56" spans="7:11">
      <c r="G56" s="21"/>
      <c r="K56" s="21"/>
    </row>
    <row r="57" spans="7:11">
      <c r="G57" s="21"/>
      <c r="K57" s="21"/>
    </row>
    <row r="58" spans="7:11">
      <c r="G58" s="21"/>
      <c r="K58" s="21"/>
    </row>
    <row r="59" spans="7:11">
      <c r="G59" s="21"/>
      <c r="K59" s="21"/>
    </row>
    <row r="60" spans="7:11">
      <c r="G60" s="21"/>
      <c r="K60" s="21"/>
    </row>
    <row r="61" spans="7:11">
      <c r="G61" s="20"/>
      <c r="K61" s="20"/>
    </row>
    <row r="62" spans="7:11">
      <c r="G62" s="20"/>
      <c r="K62" s="20"/>
    </row>
    <row r="63" spans="7:11">
      <c r="G63" s="21"/>
      <c r="K63" s="21"/>
    </row>
  </sheetData>
  <sheetProtection algorithmName="SHA-512" hashValue="mKBeMDpISIw2yPzM08Xi1wjcKaY8G19fyuWZL0EOGwoS+1FGgMTPALW3aI2w6SiOhY5i/Bu6oMDGknDehf2bsw==" saltValue="0a+4jwNoHXYvKMtDvYHTww==" spinCount="100000" sheet="1" formatCells="0" formatColumns="0" formatRows="0" insertHyperlinks="0" selectLockedCells="1"/>
  <protectedRanges>
    <protectedRange sqref="O5:AB19 A5:B42 L5 O22:AB42 P20:AB21" name="DIO_Name_2_1"/>
    <protectedRange sqref="L43:N63 L6:L42 N5:N42" name="DIO_Name_2_1_2"/>
    <protectedRange sqref="M5:M42 K10" name="DIO_Name_2_1_2_2"/>
    <protectedRange sqref="G5:J42" name="DIO_Name_2_1_1"/>
    <protectedRange sqref="K5:K9 K11:K42" name="DIO_Name_2_1_2_1_1"/>
    <protectedRange sqref="O20:O21" name="DIO_Name_2_1_3"/>
  </protectedRanges>
  <phoneticPr fontId="6" type="noConversion"/>
  <conditionalFormatting sqref="K65537:N1048576 K2:K3 K43:K65536 G1:G4 G43:G1048576">
    <cfRule type="cellIs" dxfId="13" priority="18" stopIfTrue="1" operator="equal">
      <formula>"Not Used"</formula>
    </cfRule>
  </conditionalFormatting>
  <conditionalFormatting sqref="L2:N3 L43:N65536 L4 L6:L42 N5:N42">
    <cfRule type="cellIs" dxfId="12" priority="11" stopIfTrue="1" operator="equal">
      <formula>TRUE</formula>
    </cfRule>
  </conditionalFormatting>
  <conditionalFormatting sqref="K4">
    <cfRule type="cellIs" dxfId="11" priority="10" stopIfTrue="1" operator="equal">
      <formula>TRUE</formula>
    </cfRule>
  </conditionalFormatting>
  <conditionalFormatting sqref="M4:N4">
    <cfRule type="cellIs" dxfId="10" priority="7" stopIfTrue="1" operator="equal">
      <formula>TRUE</formula>
    </cfRule>
  </conditionalFormatting>
  <conditionalFormatting sqref="M5:M42">
    <cfRule type="cellIs" dxfId="9" priority="5" stopIfTrue="1" operator="equal">
      <formula>TRUE</formula>
    </cfRule>
  </conditionalFormatting>
  <conditionalFormatting sqref="G5:G42">
    <cfRule type="cellIs" dxfId="8" priority="4" stopIfTrue="1" operator="equal">
      <formula>"Not Used"</formula>
    </cfRule>
  </conditionalFormatting>
  <conditionalFormatting sqref="K5:K9 K11:K12">
    <cfRule type="cellIs" dxfId="7" priority="3" stopIfTrue="1" operator="equal">
      <formula>TRUE</formula>
    </cfRule>
  </conditionalFormatting>
  <conditionalFormatting sqref="K13:K42">
    <cfRule type="cellIs" dxfId="6" priority="2" stopIfTrue="1" operator="equal">
      <formula>TRUE</formula>
    </cfRule>
  </conditionalFormatting>
  <conditionalFormatting sqref="K10">
    <cfRule type="cellIs" dxfId="5" priority="1" stopIfTrue="1" operator="equal">
      <formula>TRUE</formula>
    </cfRule>
  </conditionalFormatting>
  <dataValidations count="3">
    <dataValidation type="list" allowBlank="1" showInputMessage="1" showErrorMessage="1" sqref="G5:G42" xr:uid="{3145CE2F-3697-446C-92A2-77386F358499}">
      <formula1>"Input, Not Used"</formula1>
    </dataValidation>
    <dataValidation type="list" allowBlank="1" showInputMessage="1" showErrorMessage="1" sqref="G43:G63 K43:K63" xr:uid="{00000000-0002-0000-0200-000002000000}">
      <formula1>"Input, Output, Not Used"</formula1>
    </dataValidation>
    <dataValidation type="list" allowBlank="1" showInputMessage="1" showErrorMessage="1" error="Valid entries are True or False" sqref="M5:M42 K5:K42" xr:uid="{CB1BF603-85AB-4196-B9C8-03C69C86E1AA}">
      <formula1>"True, False"</formula1>
    </dataValidation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AD611-BB90-4A9C-A101-0B9A87F094A0}">
  <dimension ref="A1:P33"/>
  <sheetViews>
    <sheetView workbookViewId="0">
      <selection activeCell="K13" sqref="K13"/>
    </sheetView>
  </sheetViews>
  <sheetFormatPr defaultRowHeight="13.2"/>
  <cols>
    <col min="1" max="1" width="15.44140625" customWidth="1"/>
    <col min="2" max="2" width="17.88671875" bestFit="1" customWidth="1"/>
    <col min="3" max="3" width="12.77734375" customWidth="1"/>
    <col min="4" max="4" width="11.6640625" style="101" bestFit="1" customWidth="1"/>
    <col min="5" max="5" width="30.5546875" bestFit="1" customWidth="1"/>
    <col min="6" max="7" width="7.77734375" customWidth="1"/>
    <col min="8" max="8" width="34" bestFit="1" customWidth="1"/>
    <col min="9" max="9" width="10.77734375" customWidth="1"/>
    <col min="10" max="10" width="12.77734375" customWidth="1"/>
    <col min="11" max="11" width="22.77734375" bestFit="1" customWidth="1"/>
    <col min="12" max="12" width="12.109375" bestFit="1" customWidth="1"/>
    <col min="14" max="14" width="12.109375" bestFit="1" customWidth="1"/>
    <col min="15" max="15" width="12.77734375" bestFit="1" customWidth="1"/>
  </cols>
  <sheetData>
    <row r="1" spans="1:16" ht="43.8" thickBot="1">
      <c r="A1" s="77" t="s">
        <v>300</v>
      </c>
      <c r="B1" s="77" t="s">
        <v>202</v>
      </c>
      <c r="C1" s="75" t="s">
        <v>197</v>
      </c>
      <c r="D1" s="123" t="s">
        <v>198</v>
      </c>
      <c r="E1" s="77" t="s">
        <v>199</v>
      </c>
      <c r="F1" s="167" t="s">
        <v>200</v>
      </c>
      <c r="G1" s="167"/>
      <c r="H1" s="77" t="s">
        <v>199</v>
      </c>
      <c r="I1" s="76" t="s">
        <v>201</v>
      </c>
      <c r="J1" s="75" t="s">
        <v>197</v>
      </c>
      <c r="K1" s="77" t="s">
        <v>202</v>
      </c>
      <c r="L1" s="78"/>
      <c r="M1" s="79" t="s">
        <v>203</v>
      </c>
      <c r="N1" s="80" t="s">
        <v>204</v>
      </c>
      <c r="O1" s="80" t="s">
        <v>205</v>
      </c>
      <c r="P1" s="81"/>
    </row>
    <row r="2" spans="1:16" ht="14.4">
      <c r="A2" s="81"/>
      <c r="B2" s="122" t="str">
        <f>IFERROR(VLOOKUP(F2,SQIB_QSH!$A$2:$B$201,2,),"")</f>
        <v>QSH.PIN1</v>
      </c>
      <c r="C2" s="82"/>
      <c r="D2" s="124"/>
      <c r="E2" s="83" t="s">
        <v>206</v>
      </c>
      <c r="F2" s="84">
        <v>1</v>
      </c>
      <c r="G2" s="84">
        <v>2</v>
      </c>
      <c r="H2" s="85" t="s">
        <v>207</v>
      </c>
      <c r="I2" s="82" t="s">
        <v>208</v>
      </c>
      <c r="J2" s="82" t="s">
        <v>209</v>
      </c>
      <c r="K2" s="81" t="str">
        <f>IFERROR(VLOOKUP(G2,SQIB_QSH!$A$2:$B$201,2,),"")</f>
        <v>AD1_IN0_DP</v>
      </c>
      <c r="L2" s="81"/>
      <c r="M2" s="84"/>
      <c r="N2" s="84" t="s">
        <v>210</v>
      </c>
      <c r="O2" s="84" t="s">
        <v>211</v>
      </c>
      <c r="P2" s="81"/>
    </row>
    <row r="3" spans="1:16" ht="14.4" customHeight="1">
      <c r="A3" s="168" t="s">
        <v>475</v>
      </c>
      <c r="B3" s="122" t="str">
        <f>IFERROR(VLOOKUP(F3,SQIB_QSH!$A$2:$B$201,2,),"")</f>
        <v>DIO_HDR_OC_16</v>
      </c>
      <c r="C3" s="86" t="s">
        <v>212</v>
      </c>
      <c r="D3" s="125" t="s">
        <v>208</v>
      </c>
      <c r="E3" s="87" t="s">
        <v>213</v>
      </c>
      <c r="F3" s="84">
        <v>3</v>
      </c>
      <c r="G3" s="84">
        <v>4</v>
      </c>
      <c r="H3" s="85" t="s">
        <v>214</v>
      </c>
      <c r="I3" s="86" t="s">
        <v>215</v>
      </c>
      <c r="J3" s="86" t="s">
        <v>209</v>
      </c>
      <c r="K3" s="81" t="str">
        <f>IFERROR(VLOOKUP(G3,SQIB_QSH!$A$2:$B$201,2,),"")</f>
        <v>AD1_IN0_DN</v>
      </c>
      <c r="L3" s="81"/>
      <c r="M3" s="84">
        <v>3.3</v>
      </c>
      <c r="N3" s="84" t="s">
        <v>216</v>
      </c>
      <c r="O3" s="84" t="s">
        <v>211</v>
      </c>
      <c r="P3" s="81"/>
    </row>
    <row r="4" spans="1:16" ht="14.4">
      <c r="A4" s="169"/>
      <c r="B4" s="122" t="str">
        <f>IFERROR(VLOOKUP(F4,SQIB_QSH!$A$2:$B$201,2,),"")</f>
        <v>DIO_HDR_OC_17</v>
      </c>
      <c r="C4" s="88" t="s">
        <v>209</v>
      </c>
      <c r="D4" s="125" t="s">
        <v>208</v>
      </c>
      <c r="E4" s="87" t="s">
        <v>217</v>
      </c>
      <c r="F4" s="84">
        <v>5</v>
      </c>
      <c r="G4" s="84">
        <v>6</v>
      </c>
      <c r="H4" s="85" t="s">
        <v>218</v>
      </c>
      <c r="I4" s="89" t="s">
        <v>208</v>
      </c>
      <c r="J4" s="86" t="s">
        <v>209</v>
      </c>
      <c r="K4" s="81" t="str">
        <f>IFERROR(VLOOKUP(G4,SQIB_QSH!$A$2:$B$201,2,),"")</f>
        <v>AD1_IN1_DP</v>
      </c>
      <c r="L4" s="81"/>
      <c r="M4" s="84">
        <v>3.3</v>
      </c>
      <c r="N4" s="84" t="s">
        <v>219</v>
      </c>
      <c r="O4" s="84" t="s">
        <v>211</v>
      </c>
      <c r="P4" s="81"/>
    </row>
    <row r="5" spans="1:16" ht="14.4" customHeight="1">
      <c r="A5" s="168" t="s">
        <v>476</v>
      </c>
      <c r="B5" s="122" t="str">
        <f>IFERROR(VLOOKUP(F5,SQIB_QSH!$A$2:$B$201,2,),"")</f>
        <v>DIO_HDR_34</v>
      </c>
      <c r="C5" s="86" t="s">
        <v>209</v>
      </c>
      <c r="D5" s="125" t="s">
        <v>208</v>
      </c>
      <c r="E5" s="87" t="s">
        <v>220</v>
      </c>
      <c r="F5" s="84">
        <v>7</v>
      </c>
      <c r="G5" s="84">
        <v>8</v>
      </c>
      <c r="H5" s="85" t="s">
        <v>221</v>
      </c>
      <c r="I5" s="86" t="s">
        <v>222</v>
      </c>
      <c r="J5" s="86" t="s">
        <v>209</v>
      </c>
      <c r="K5" s="81" t="str">
        <f>IFERROR(VLOOKUP(G5,SQIB_QSH!$A$2:$B$201,2,),"")</f>
        <v>AD1_IN1_DN</v>
      </c>
      <c r="L5" s="81"/>
      <c r="M5" s="84">
        <v>1.8</v>
      </c>
      <c r="N5" s="84" t="s">
        <v>223</v>
      </c>
      <c r="O5" s="84" t="s">
        <v>211</v>
      </c>
      <c r="P5" s="81"/>
    </row>
    <row r="6" spans="1:16" ht="14.4">
      <c r="A6" s="169"/>
      <c r="B6" s="122" t="str">
        <f>IFERROR(VLOOKUP(F6,SQIB_QSH!$A$2:$B$201,2,),"")</f>
        <v>DIO_HDR_35</v>
      </c>
      <c r="C6" s="86" t="s">
        <v>209</v>
      </c>
      <c r="D6" s="125" t="s">
        <v>208</v>
      </c>
      <c r="E6" s="87" t="s">
        <v>224</v>
      </c>
      <c r="F6" s="84">
        <v>9</v>
      </c>
      <c r="G6" s="84">
        <v>10</v>
      </c>
      <c r="H6" s="85" t="s">
        <v>225</v>
      </c>
      <c r="I6" s="86"/>
      <c r="J6" s="86"/>
      <c r="K6" s="81" t="str">
        <f>IFERROR(VLOOKUP(G6,SQIB_QSH!$A$2:$B$201,2,),"")</f>
        <v>GND</v>
      </c>
      <c r="L6" s="81"/>
      <c r="M6" s="84"/>
      <c r="N6" s="84" t="s">
        <v>226</v>
      </c>
      <c r="O6" s="84"/>
      <c r="P6" s="81"/>
    </row>
    <row r="7" spans="1:16" ht="14.4" customHeight="1">
      <c r="A7" s="170" t="s">
        <v>477</v>
      </c>
      <c r="B7" s="122" t="str">
        <f>IFERROR(VLOOKUP(F7,SQIB_QSH!$A$2:$B$201,2,),"")</f>
        <v>DIO_HDR_36</v>
      </c>
      <c r="C7" s="89" t="s">
        <v>212</v>
      </c>
      <c r="D7" s="125" t="s">
        <v>208</v>
      </c>
      <c r="E7" s="87" t="s">
        <v>227</v>
      </c>
      <c r="F7" s="84">
        <v>11</v>
      </c>
      <c r="G7" s="84">
        <v>12</v>
      </c>
      <c r="H7" s="85" t="s">
        <v>228</v>
      </c>
      <c r="I7" s="86" t="s">
        <v>229</v>
      </c>
      <c r="J7" s="86" t="s">
        <v>209</v>
      </c>
      <c r="K7" s="81" t="str">
        <f>IFERROR(VLOOKUP(G7,SQIB_QSH!$A$2:$B$201,2,),"")</f>
        <v>AD1_IN2_DP</v>
      </c>
      <c r="L7" s="81"/>
      <c r="M7" s="84">
        <v>3.3</v>
      </c>
      <c r="N7" s="84" t="s">
        <v>230</v>
      </c>
      <c r="O7" s="84" t="s">
        <v>211</v>
      </c>
      <c r="P7" s="81"/>
    </row>
    <row r="8" spans="1:16" ht="14.4">
      <c r="A8" s="171"/>
      <c r="B8" s="122" t="str">
        <f>IFERROR(VLOOKUP(F8,SQIB_QSH!$A$2:$B$201,2,),"")</f>
        <v>DIO_HDR_37</v>
      </c>
      <c r="C8" s="86" t="s">
        <v>209</v>
      </c>
      <c r="D8" s="125" t="s">
        <v>208</v>
      </c>
      <c r="E8" s="87" t="s">
        <v>231</v>
      </c>
      <c r="F8" s="84">
        <v>13</v>
      </c>
      <c r="G8" s="84">
        <v>14</v>
      </c>
      <c r="H8" s="85" t="s">
        <v>232</v>
      </c>
      <c r="I8" s="86" t="s">
        <v>229</v>
      </c>
      <c r="J8" s="86" t="s">
        <v>209</v>
      </c>
      <c r="K8" s="81" t="str">
        <f>IFERROR(VLOOKUP(G8,SQIB_QSH!$A$2:$B$201,2,),"")</f>
        <v>AD1_IN2_DN</v>
      </c>
      <c r="L8" s="81"/>
      <c r="M8" s="84">
        <v>3.3</v>
      </c>
      <c r="N8" s="84" t="s">
        <v>233</v>
      </c>
      <c r="O8" s="84" t="s">
        <v>211</v>
      </c>
      <c r="P8" s="81"/>
    </row>
    <row r="9" spans="1:16" ht="14.4">
      <c r="A9" s="171"/>
      <c r="B9" s="122" t="str">
        <f>IFERROR(VLOOKUP(F9,SQIB_QSH!$A$2:$B$201,2,),"")</f>
        <v>DIO_HDR_38</v>
      </c>
      <c r="C9" s="86" t="s">
        <v>209</v>
      </c>
      <c r="D9" s="125" t="s">
        <v>208</v>
      </c>
      <c r="E9" s="87" t="s">
        <v>234</v>
      </c>
      <c r="F9" s="84">
        <v>15</v>
      </c>
      <c r="G9" s="84">
        <v>16</v>
      </c>
      <c r="H9" s="85" t="s">
        <v>235</v>
      </c>
      <c r="I9" s="86" t="s">
        <v>236</v>
      </c>
      <c r="J9" s="86" t="s">
        <v>209</v>
      </c>
      <c r="K9" s="81" t="str">
        <f>IFERROR(VLOOKUP(G9,SQIB_QSH!$A$2:$B$201,2,),"")</f>
        <v>AD1_IN3_DP</v>
      </c>
      <c r="L9" s="81"/>
      <c r="M9" s="84">
        <v>3.3</v>
      </c>
      <c r="N9" s="84" t="s">
        <v>237</v>
      </c>
      <c r="O9" s="84" t="s">
        <v>211</v>
      </c>
      <c r="P9" s="81"/>
    </row>
    <row r="10" spans="1:16" ht="14.4">
      <c r="A10" s="172"/>
      <c r="B10" s="122" t="str">
        <f>IFERROR(VLOOKUP(F10,SQIB_QSH!$A$2:$B$201,2,),"")</f>
        <v>DIO_HDR_39</v>
      </c>
      <c r="C10" s="89" t="s">
        <v>212</v>
      </c>
      <c r="D10" s="125" t="s">
        <v>208</v>
      </c>
      <c r="E10" s="87" t="s">
        <v>238</v>
      </c>
      <c r="F10" s="84">
        <v>17</v>
      </c>
      <c r="G10" s="84">
        <v>18</v>
      </c>
      <c r="H10" s="85" t="s">
        <v>239</v>
      </c>
      <c r="I10" s="86" t="s">
        <v>236</v>
      </c>
      <c r="J10" s="86" t="s">
        <v>209</v>
      </c>
      <c r="K10" s="81" t="str">
        <f>IFERROR(VLOOKUP(G10,SQIB_QSH!$A$2:$B$201,2,),"")</f>
        <v>AD1_IN3_DN</v>
      </c>
      <c r="L10" s="81"/>
      <c r="M10" s="84">
        <v>3.3</v>
      </c>
      <c r="N10" s="84" t="s">
        <v>240</v>
      </c>
      <c r="O10" s="84" t="s">
        <v>211</v>
      </c>
      <c r="P10" s="81"/>
    </row>
    <row r="11" spans="1:16" ht="14.4" customHeight="1">
      <c r="A11" s="170" t="s">
        <v>475</v>
      </c>
      <c r="B11" s="122" t="str">
        <f>IFERROR(VLOOKUP(F11,SQIB_QSH!$A$2:$B$201,2,),"")</f>
        <v>DIO_HDR_OC_40</v>
      </c>
      <c r="C11" s="88" t="s">
        <v>209</v>
      </c>
      <c r="D11" s="125" t="s">
        <v>208</v>
      </c>
      <c r="E11" s="87" t="s">
        <v>241</v>
      </c>
      <c r="F11" s="84">
        <v>19</v>
      </c>
      <c r="G11" s="84">
        <v>20</v>
      </c>
      <c r="H11" s="85" t="s">
        <v>225</v>
      </c>
      <c r="I11" s="86"/>
      <c r="J11" s="86"/>
      <c r="K11" s="81" t="str">
        <f>IFERROR(VLOOKUP(G11,SQIB_QSH!$A$2:$B$201,2,),"")</f>
        <v>GND</v>
      </c>
      <c r="L11" s="81"/>
      <c r="M11" s="84">
        <v>3.3</v>
      </c>
      <c r="N11" s="84" t="s">
        <v>242</v>
      </c>
      <c r="O11" s="84"/>
      <c r="P11" s="90"/>
    </row>
    <row r="12" spans="1:16" ht="14.4">
      <c r="A12" s="171"/>
      <c r="B12" s="122" t="str">
        <f>IFERROR(VLOOKUP(F12,SQIB_QSH!$A$2:$B$201,2,),"")</f>
        <v>DIO_HDR_OC_41</v>
      </c>
      <c r="C12" s="86" t="s">
        <v>212</v>
      </c>
      <c r="D12" s="125" t="s">
        <v>208</v>
      </c>
      <c r="E12" s="87" t="s">
        <v>243</v>
      </c>
      <c r="F12" s="84">
        <v>21</v>
      </c>
      <c r="G12" s="84">
        <v>22</v>
      </c>
      <c r="H12" s="85" t="s">
        <v>244</v>
      </c>
      <c r="I12" s="89" t="s">
        <v>236</v>
      </c>
      <c r="J12" s="86" t="s">
        <v>209</v>
      </c>
      <c r="K12" s="81" t="str">
        <f>IFERROR(VLOOKUP(G12,SQIB_QSH!$A$2:$B$201,2,),"")</f>
        <v>AD2_IN0_DP</v>
      </c>
      <c r="L12" s="81"/>
      <c r="M12" s="84">
        <v>3.3</v>
      </c>
      <c r="N12" s="84" t="s">
        <v>245</v>
      </c>
      <c r="O12" s="84" t="s">
        <v>211</v>
      </c>
      <c r="P12" s="81"/>
    </row>
    <row r="13" spans="1:16" ht="14.4">
      <c r="A13" s="171"/>
      <c r="B13" s="122" t="str">
        <f>IFERROR(VLOOKUP(F13,SQIB_QSH!$A$2:$B$201,2,),"")</f>
        <v>DIO_HDR_OC_42</v>
      </c>
      <c r="C13" s="86" t="s">
        <v>212</v>
      </c>
      <c r="D13" s="125" t="s">
        <v>208</v>
      </c>
      <c r="E13" s="87" t="s">
        <v>246</v>
      </c>
      <c r="F13" s="84">
        <v>23</v>
      </c>
      <c r="G13" s="84">
        <v>24</v>
      </c>
      <c r="H13" s="85" t="s">
        <v>247</v>
      </c>
      <c r="I13" s="89" t="s">
        <v>236</v>
      </c>
      <c r="J13" s="86" t="s">
        <v>209</v>
      </c>
      <c r="K13" s="81" t="str">
        <f>IFERROR(VLOOKUP(G13,SQIB_QSH!$A$2:$B$201,2,),"")</f>
        <v>AD2_IN0_DN</v>
      </c>
      <c r="L13" s="81"/>
      <c r="M13" s="84">
        <v>3.3</v>
      </c>
      <c r="N13" s="84" t="s">
        <v>248</v>
      </c>
      <c r="O13" s="84" t="s">
        <v>211</v>
      </c>
      <c r="P13" s="81"/>
    </row>
    <row r="14" spans="1:16" ht="14.4">
      <c r="A14" s="172"/>
      <c r="B14" s="122" t="str">
        <f>IFERROR(VLOOKUP(F14,SQIB_QSH!$A$2:$B$201,2,),"")</f>
        <v>DIO_HDR_OC_43</v>
      </c>
      <c r="C14" s="86" t="s">
        <v>209</v>
      </c>
      <c r="D14" s="125" t="s">
        <v>208</v>
      </c>
      <c r="E14" s="87" t="s">
        <v>249</v>
      </c>
      <c r="F14" s="84">
        <v>25</v>
      </c>
      <c r="G14" s="84">
        <v>26</v>
      </c>
      <c r="H14" s="85" t="s">
        <v>250</v>
      </c>
      <c r="I14" s="86" t="s">
        <v>251</v>
      </c>
      <c r="J14" s="86" t="s">
        <v>209</v>
      </c>
      <c r="K14" s="81" t="str">
        <f>IFERROR(VLOOKUP(G14,SQIB_QSH!$A$2:$B$201,2,),"")</f>
        <v>AD2_IN1_DP</v>
      </c>
      <c r="L14" s="81"/>
      <c r="M14" s="84">
        <v>3.3</v>
      </c>
      <c r="N14" s="84" t="s">
        <v>252</v>
      </c>
      <c r="O14" s="84" t="s">
        <v>211</v>
      </c>
      <c r="P14" s="81"/>
    </row>
    <row r="15" spans="1:16" ht="14.4">
      <c r="A15" s="81"/>
      <c r="B15" s="122" t="str">
        <f>IFERROR(VLOOKUP(F15,SQIB_QSH!$A$2:$B$201,2,),"")</f>
        <v>GND</v>
      </c>
      <c r="C15" s="86"/>
      <c r="D15" s="125"/>
      <c r="E15" s="128" t="s">
        <v>225</v>
      </c>
      <c r="F15" s="84">
        <v>27</v>
      </c>
      <c r="G15" s="84">
        <v>28</v>
      </c>
      <c r="H15" s="85" t="s">
        <v>253</v>
      </c>
      <c r="I15" s="86" t="s">
        <v>251</v>
      </c>
      <c r="J15" s="86" t="s">
        <v>209</v>
      </c>
      <c r="K15" s="81" t="str">
        <f>IFERROR(VLOOKUP(G15,SQIB_QSH!$A$2:$B$201,2,),"")</f>
        <v>AD2_IN1_DN</v>
      </c>
      <c r="L15" s="81"/>
      <c r="M15" s="84"/>
      <c r="N15" s="84"/>
      <c r="O15" s="84" t="s">
        <v>211</v>
      </c>
      <c r="P15" s="81"/>
    </row>
    <row r="16" spans="1:16" ht="14.4">
      <c r="A16" s="81"/>
      <c r="B16" s="122" t="str">
        <f>IFERROR(VLOOKUP(F16,SQIB_QSH!$A$2:$B$201,2,),"")</f>
        <v>3P3V_8A_BLT_3P3V</v>
      </c>
      <c r="C16" s="86" t="s">
        <v>212</v>
      </c>
      <c r="D16" s="125" t="s">
        <v>208</v>
      </c>
      <c r="E16" s="81" t="s">
        <v>254</v>
      </c>
      <c r="F16" s="84">
        <v>29</v>
      </c>
      <c r="G16" s="84">
        <v>30</v>
      </c>
      <c r="H16" s="85" t="s">
        <v>225</v>
      </c>
      <c r="I16" s="86"/>
      <c r="J16" s="86"/>
      <c r="K16" s="81" t="str">
        <f>IFERROR(VLOOKUP(G16,SQIB_QSH!$A$2:$B$201,2,),"")</f>
        <v>GND</v>
      </c>
      <c r="L16" s="81"/>
      <c r="M16" s="84"/>
      <c r="N16" s="84" t="s">
        <v>208</v>
      </c>
      <c r="O16" s="84"/>
      <c r="P16" s="81"/>
    </row>
    <row r="17" spans="1:16" ht="14.4">
      <c r="A17" s="81"/>
      <c r="B17" s="122" t="str">
        <f>IFERROR(VLOOKUP(F17,SQIB_QSH!$A$2:$B$201,2,),"")</f>
        <v>DUT_SMB0_DAT</v>
      </c>
      <c r="C17" s="86" t="s">
        <v>255</v>
      </c>
      <c r="D17" s="125" t="s">
        <v>208</v>
      </c>
      <c r="E17" s="87" t="s">
        <v>256</v>
      </c>
      <c r="F17" s="84">
        <v>31</v>
      </c>
      <c r="G17" s="84">
        <v>32</v>
      </c>
      <c r="H17" s="85" t="s">
        <v>257</v>
      </c>
      <c r="I17" s="89" t="s">
        <v>258</v>
      </c>
      <c r="J17" s="86" t="s">
        <v>259</v>
      </c>
      <c r="K17" s="81" t="str">
        <f>IFERROR(VLOOKUP(G17,SQIB_QSH!$A$2:$B$201,2,),"")</f>
        <v>AD2_IN2_DP</v>
      </c>
      <c r="L17" s="81"/>
      <c r="M17" s="84"/>
      <c r="N17" s="91" t="s">
        <v>260</v>
      </c>
      <c r="O17" s="84" t="s">
        <v>211</v>
      </c>
      <c r="P17" s="81"/>
    </row>
    <row r="18" spans="1:16" ht="14.4">
      <c r="A18" s="81"/>
      <c r="B18" s="122" t="str">
        <f>IFERROR(VLOOKUP(F18,SQIB_QSH!$A$2:$B$201,2,),"")</f>
        <v>DUT_SMB0_CLK</v>
      </c>
      <c r="C18" s="89" t="s">
        <v>212</v>
      </c>
      <c r="D18" s="125" t="s">
        <v>208</v>
      </c>
      <c r="E18" s="81" t="s">
        <v>261</v>
      </c>
      <c r="F18" s="84">
        <v>33</v>
      </c>
      <c r="G18" s="84">
        <v>34</v>
      </c>
      <c r="H18" s="85" t="s">
        <v>262</v>
      </c>
      <c r="I18" s="89" t="s">
        <v>258</v>
      </c>
      <c r="J18" s="86" t="s">
        <v>209</v>
      </c>
      <c r="K18" s="81" t="str">
        <f>IFERROR(VLOOKUP(G18,SQIB_QSH!$A$2:$B$201,2,),"")</f>
        <v>AD2_IN2_DN</v>
      </c>
      <c r="L18" s="81"/>
      <c r="M18" s="84"/>
      <c r="N18" s="91" t="s">
        <v>263</v>
      </c>
      <c r="O18" s="84" t="s">
        <v>211</v>
      </c>
      <c r="P18" s="81"/>
    </row>
    <row r="19" spans="1:16" ht="14.4">
      <c r="A19" s="81"/>
      <c r="B19" s="122" t="str">
        <f>IFERROR(VLOOKUP(F19,SQIB_QSH!$A$2:$B$201,2,),"")</f>
        <v>DUT_SMB2_DAT</v>
      </c>
      <c r="C19" s="86" t="s">
        <v>255</v>
      </c>
      <c r="D19" s="125" t="s">
        <v>208</v>
      </c>
      <c r="E19" s="87" t="s">
        <v>264</v>
      </c>
      <c r="F19" s="84">
        <v>35</v>
      </c>
      <c r="G19" s="84">
        <v>36</v>
      </c>
      <c r="H19" s="85" t="s">
        <v>265</v>
      </c>
      <c r="I19" s="92" t="s">
        <v>266</v>
      </c>
      <c r="J19" s="86" t="s">
        <v>209</v>
      </c>
      <c r="K19" s="81" t="str">
        <f>IFERROR(VLOOKUP(G19,SQIB_QSH!$A$2:$B$201,2,),"")</f>
        <v>AD2_IN3_DP</v>
      </c>
      <c r="L19" s="121"/>
      <c r="M19" s="84"/>
      <c r="N19" s="91" t="s">
        <v>260</v>
      </c>
      <c r="O19" s="84" t="s">
        <v>267</v>
      </c>
      <c r="P19" s="81" t="s">
        <v>52</v>
      </c>
    </row>
    <row r="20" spans="1:16" ht="14.4">
      <c r="A20" s="81"/>
      <c r="B20" s="122" t="str">
        <f>IFERROR(VLOOKUP(F20,SQIB_QSH!$A$2:$B$201,2,),"")</f>
        <v>DUT_SMB2_CLK</v>
      </c>
      <c r="C20" s="88" t="s">
        <v>212</v>
      </c>
      <c r="D20" s="125" t="s">
        <v>208</v>
      </c>
      <c r="E20" s="81" t="s">
        <v>268</v>
      </c>
      <c r="F20" s="84">
        <v>37</v>
      </c>
      <c r="G20" s="84">
        <v>38</v>
      </c>
      <c r="H20" s="85" t="s">
        <v>269</v>
      </c>
      <c r="I20" s="89" t="s">
        <v>270</v>
      </c>
      <c r="J20" s="86" t="s">
        <v>209</v>
      </c>
      <c r="K20" s="81" t="str">
        <f>IFERROR(VLOOKUP(G20,SQIB_QSH!$A$2:$B$201,2,),"")</f>
        <v>AD2_IN3_DN</v>
      </c>
      <c r="L20" s="121"/>
      <c r="M20" s="84"/>
      <c r="N20" s="84" t="s">
        <v>263</v>
      </c>
      <c r="O20" s="84" t="s">
        <v>267</v>
      </c>
      <c r="P20" s="81" t="s">
        <v>52</v>
      </c>
    </row>
    <row r="21" spans="1:16" ht="14.4">
      <c r="A21" s="81"/>
      <c r="B21" s="122" t="str">
        <f>IFERROR(VLOOKUP(F21,SQIB_QSH!$A$2:$B$201,2,),"")</f>
        <v>DUT_SMB3_DAT</v>
      </c>
      <c r="C21" s="86"/>
      <c r="D21" s="125"/>
      <c r="E21" s="87" t="s">
        <v>271</v>
      </c>
      <c r="F21" s="84">
        <v>39</v>
      </c>
      <c r="G21" s="84">
        <v>40</v>
      </c>
      <c r="H21" s="85" t="s">
        <v>225</v>
      </c>
      <c r="I21" s="86"/>
      <c r="J21" s="86"/>
      <c r="K21" s="81" t="str">
        <f>IFERROR(VLOOKUP(G21,SQIB_QSH!$A$2:$B$201,2,),"")</f>
        <v>GND</v>
      </c>
      <c r="L21" s="81"/>
      <c r="M21" s="84"/>
      <c r="N21" s="84"/>
      <c r="O21" s="84"/>
      <c r="P21" s="81"/>
    </row>
    <row r="22" spans="1:16" ht="14.4">
      <c r="A22" s="81"/>
      <c r="B22" s="122" t="str">
        <f>IFERROR(VLOOKUP(F22,SQIB_QSH!$A$2:$B$201,2,),"")</f>
        <v>DUT_SMB3_CLK</v>
      </c>
      <c r="C22" s="86"/>
      <c r="D22" s="125"/>
      <c r="E22" s="81" t="s">
        <v>272</v>
      </c>
      <c r="F22" s="84">
        <v>41</v>
      </c>
      <c r="G22" s="84">
        <v>42</v>
      </c>
      <c r="H22" s="85" t="s">
        <v>273</v>
      </c>
      <c r="I22" s="86" t="s">
        <v>251</v>
      </c>
      <c r="J22" s="86" t="s">
        <v>209</v>
      </c>
      <c r="K22" s="81" t="str">
        <f>IFERROR(VLOOKUP(G22,SQIB_QSH!$A$2:$B$201,2,),"")</f>
        <v>AD3_IN0_DP</v>
      </c>
      <c r="L22" s="81"/>
      <c r="M22" s="84"/>
      <c r="N22" s="84"/>
      <c r="O22" s="84" t="s">
        <v>211</v>
      </c>
      <c r="P22" s="81"/>
    </row>
    <row r="23" spans="1:16" ht="14.4">
      <c r="A23" s="81"/>
      <c r="B23" s="122" t="str">
        <f>IFERROR(VLOOKUP(F23,SQIB_QSH!$A$2:$B$201,2,),"")</f>
        <v>GND</v>
      </c>
      <c r="C23" s="86"/>
      <c r="D23" s="125"/>
      <c r="E23" s="128" t="s">
        <v>225</v>
      </c>
      <c r="F23" s="84">
        <v>43</v>
      </c>
      <c r="G23" s="84">
        <v>44</v>
      </c>
      <c r="H23" s="85" t="s">
        <v>274</v>
      </c>
      <c r="I23" s="86" t="s">
        <v>251</v>
      </c>
      <c r="J23" s="86" t="s">
        <v>209</v>
      </c>
      <c r="K23" s="81" t="str">
        <f>IFERROR(VLOOKUP(G23,SQIB_QSH!$A$2:$B$201,2,),"")</f>
        <v>AD3_IN0_DN</v>
      </c>
      <c r="L23" s="81"/>
      <c r="M23" s="84"/>
      <c r="N23" s="84"/>
      <c r="O23" s="84" t="s">
        <v>211</v>
      </c>
      <c r="P23" s="81"/>
    </row>
    <row r="24" spans="1:16" ht="14.4">
      <c r="A24" s="81"/>
      <c r="B24" s="122" t="str">
        <f>IFERROR(VLOOKUP(F24,SQIB_QSH!$A$2:$B$201,2,),"")</f>
        <v>DUT_SPI1_CLK</v>
      </c>
      <c r="C24" s="86"/>
      <c r="D24" s="125"/>
      <c r="E24" s="81" t="s">
        <v>275</v>
      </c>
      <c r="F24" s="84">
        <v>45</v>
      </c>
      <c r="G24" s="84">
        <v>46</v>
      </c>
      <c r="H24" s="85" t="s">
        <v>276</v>
      </c>
      <c r="I24" s="86" t="s">
        <v>229</v>
      </c>
      <c r="J24" s="86" t="s">
        <v>209</v>
      </c>
      <c r="K24" s="81" t="str">
        <f>IFERROR(VLOOKUP(G24,SQIB_QSH!$A$2:$B$201,2,),"")</f>
        <v>AD3_IN1_DP</v>
      </c>
      <c r="L24" s="81"/>
      <c r="M24" s="84"/>
      <c r="N24" s="84"/>
      <c r="O24" s="84" t="s">
        <v>211</v>
      </c>
      <c r="P24" s="81"/>
    </row>
    <row r="25" spans="1:16" ht="14.4">
      <c r="A25" s="81"/>
      <c r="B25" s="122" t="str">
        <f>IFERROR(VLOOKUP(F25,SQIB_QSH!$A$2:$B$201,2,),"")</f>
        <v>DUT_SPI1_CS#</v>
      </c>
      <c r="C25" s="86"/>
      <c r="D25" s="125"/>
      <c r="E25" s="87" t="s">
        <v>277</v>
      </c>
      <c r="F25" s="84">
        <v>47</v>
      </c>
      <c r="G25" s="84">
        <v>48</v>
      </c>
      <c r="H25" s="85" t="s">
        <v>278</v>
      </c>
      <c r="I25" s="86" t="s">
        <v>229</v>
      </c>
      <c r="J25" s="86" t="s">
        <v>209</v>
      </c>
      <c r="K25" s="81" t="str">
        <f>IFERROR(VLOOKUP(G25,SQIB_QSH!$A$2:$B$201,2,),"")</f>
        <v>AD3_IN1_DN</v>
      </c>
      <c r="L25" s="81"/>
      <c r="M25" s="84"/>
      <c r="N25" s="84"/>
      <c r="O25" s="84" t="s">
        <v>211</v>
      </c>
      <c r="P25" s="93"/>
    </row>
    <row r="26" spans="1:16" ht="14.4">
      <c r="A26" s="81"/>
      <c r="B26" s="122" t="str">
        <f>IFERROR(VLOOKUP(F26,SQIB_QSH!$A$2:$B$201,2,),"")</f>
        <v>DUT_SPI1_MOSI</v>
      </c>
      <c r="C26" s="86"/>
      <c r="D26" s="125"/>
      <c r="E26" s="81" t="s">
        <v>279</v>
      </c>
      <c r="F26" s="84">
        <v>49</v>
      </c>
      <c r="G26" s="84">
        <v>50</v>
      </c>
      <c r="H26" s="85" t="s">
        <v>225</v>
      </c>
      <c r="I26" s="86"/>
      <c r="J26" s="86"/>
      <c r="K26" s="81" t="str">
        <f>IFERROR(VLOOKUP(G26,SQIB_QSH!$A$2:$B$201,2,),"")</f>
        <v>GND</v>
      </c>
      <c r="L26" s="81"/>
      <c r="M26" s="84"/>
      <c r="N26" s="84"/>
      <c r="O26" s="84"/>
      <c r="P26" s="94"/>
    </row>
    <row r="27" spans="1:16" ht="14.4">
      <c r="A27" s="81"/>
      <c r="B27" s="122" t="str">
        <f>IFERROR(VLOOKUP(F27,SQIB_QSH!$A$2:$B$201,2,),"")</f>
        <v>DUT_SPI1_MISO</v>
      </c>
      <c r="C27" s="86"/>
      <c r="D27" s="125"/>
      <c r="E27" s="87" t="s">
        <v>280</v>
      </c>
      <c r="F27" s="84">
        <v>51</v>
      </c>
      <c r="G27" s="84">
        <v>52</v>
      </c>
      <c r="H27" s="85" t="s">
        <v>281</v>
      </c>
      <c r="I27" s="86"/>
      <c r="J27" s="86" t="s">
        <v>259</v>
      </c>
      <c r="K27" s="81" t="str">
        <f>IFERROR(VLOOKUP(G27,SQIB_QSH!$A$2:$B$201,2,),"")</f>
        <v>DUT_EDM_CH0_DP</v>
      </c>
      <c r="L27" s="81"/>
      <c r="M27" s="84"/>
      <c r="N27" s="84"/>
      <c r="O27" s="84" t="s">
        <v>282</v>
      </c>
      <c r="P27" s="81"/>
    </row>
    <row r="28" spans="1:16" ht="14.4">
      <c r="A28" s="81"/>
      <c r="B28" s="122" t="str">
        <f>IFERROR(VLOOKUP(F28,SQIB_QSH!$A$2:$B$201,2,),"")</f>
        <v>DUT_EDM_CH2_DP</v>
      </c>
      <c r="C28" s="86" t="s">
        <v>259</v>
      </c>
      <c r="D28" s="125"/>
      <c r="E28" s="81" t="s">
        <v>283</v>
      </c>
      <c r="F28" s="84">
        <v>53</v>
      </c>
      <c r="G28" s="84">
        <v>54</v>
      </c>
      <c r="H28" s="85" t="s">
        <v>284</v>
      </c>
      <c r="I28" s="86"/>
      <c r="J28" s="86" t="s">
        <v>259</v>
      </c>
      <c r="K28" s="81" t="str">
        <f>IFERROR(VLOOKUP(G28,SQIB_QSH!$A$2:$B$201,2,),"")</f>
        <v>DUT_EDM_CH0_DVM_DN</v>
      </c>
      <c r="L28" s="81"/>
      <c r="M28" s="84"/>
      <c r="N28" s="84" t="s">
        <v>285</v>
      </c>
      <c r="O28" s="84" t="s">
        <v>282</v>
      </c>
      <c r="P28" s="81"/>
    </row>
    <row r="29" spans="1:16" ht="14.4">
      <c r="A29" s="81"/>
      <c r="B29" s="122" t="str">
        <f>IFERROR(VLOOKUP(F29,SQIB_QSH!$A$2:$B$201,2,),"")</f>
        <v>DUT_EDM_CH2_DN</v>
      </c>
      <c r="C29" s="86" t="s">
        <v>259</v>
      </c>
      <c r="D29" s="125"/>
      <c r="E29" s="87" t="s">
        <v>286</v>
      </c>
      <c r="F29" s="84">
        <v>55</v>
      </c>
      <c r="G29" s="84">
        <v>56</v>
      </c>
      <c r="H29" s="85" t="s">
        <v>287</v>
      </c>
      <c r="I29" s="86"/>
      <c r="J29" s="86" t="s">
        <v>259</v>
      </c>
      <c r="K29" s="81" t="str">
        <f>IFERROR(VLOOKUP(G29,SQIB_QSH!$A$2:$B$201,2,),"")</f>
        <v>DUT_EDM_CH1_DP</v>
      </c>
      <c r="L29" s="81"/>
      <c r="M29" s="84"/>
      <c r="N29" s="84" t="s">
        <v>285</v>
      </c>
      <c r="O29" s="84" t="s">
        <v>288</v>
      </c>
      <c r="P29" s="81"/>
    </row>
    <row r="30" spans="1:16" ht="14.4">
      <c r="A30" s="81"/>
      <c r="B30" s="122" t="str">
        <f>IFERROR(VLOOKUP(F30,SQIB_QSH!$A$2:$B$201,2,),"")</f>
        <v>DUT_EDM_CH3_DP</v>
      </c>
      <c r="C30" s="86" t="s">
        <v>259</v>
      </c>
      <c r="D30" s="125"/>
      <c r="E30" s="81" t="s">
        <v>289</v>
      </c>
      <c r="F30" s="84">
        <v>57</v>
      </c>
      <c r="G30" s="84">
        <v>58</v>
      </c>
      <c r="H30" s="85" t="s">
        <v>290</v>
      </c>
      <c r="I30" s="86"/>
      <c r="J30" s="86" t="s">
        <v>259</v>
      </c>
      <c r="K30" s="81" t="str">
        <f>IFERROR(VLOOKUP(G30,SQIB_QSH!$A$2:$B$201,2,),"")</f>
        <v>DUT_EDM_CH1_DVM_DN</v>
      </c>
      <c r="L30" s="81"/>
      <c r="M30" s="84"/>
      <c r="N30" s="84" t="s">
        <v>291</v>
      </c>
      <c r="O30" s="84" t="s">
        <v>288</v>
      </c>
      <c r="P30" s="81"/>
    </row>
    <row r="31" spans="1:16" ht="15" thickBot="1">
      <c r="A31" s="81"/>
      <c r="B31" s="122" t="str">
        <f>IFERROR(VLOOKUP(F31,SQIB_QSH!$A$2:$B$201,2,),"")</f>
        <v>DUT_EDM_CH3_DN</v>
      </c>
      <c r="C31" s="95" t="s">
        <v>259</v>
      </c>
      <c r="D31" s="126"/>
      <c r="E31" s="87" t="s">
        <v>292</v>
      </c>
      <c r="F31" s="96">
        <v>59</v>
      </c>
      <c r="G31" s="96">
        <v>60</v>
      </c>
      <c r="H31" s="97" t="s">
        <v>293</v>
      </c>
      <c r="I31" s="98"/>
      <c r="J31" s="95"/>
      <c r="K31" s="81" t="str">
        <f>IFERROR(VLOOKUP(G31,SQIB_QSH!$A$2:$B$201,2,),"")</f>
        <v>QSH.PIN60</v>
      </c>
      <c r="L31" s="81"/>
      <c r="M31" s="84"/>
      <c r="N31" s="84" t="s">
        <v>291</v>
      </c>
      <c r="O31" s="84" t="s">
        <v>210</v>
      </c>
      <c r="P31" s="81"/>
    </row>
    <row r="32" spans="1:16" ht="14.4">
      <c r="A32" s="81"/>
      <c r="B32" s="81"/>
      <c r="E32" s="81"/>
      <c r="F32" s="84"/>
      <c r="G32" s="84"/>
      <c r="H32" s="81"/>
      <c r="I32" s="81"/>
      <c r="J32" s="81"/>
      <c r="K32" s="81"/>
      <c r="L32" s="81"/>
      <c r="M32" s="84"/>
      <c r="N32" s="84"/>
      <c r="O32" s="84"/>
      <c r="P32" s="81"/>
    </row>
    <row r="33" spans="1:16" ht="14.4">
      <c r="A33" s="81"/>
      <c r="B33" s="81"/>
      <c r="E33" s="81"/>
      <c r="F33" s="84"/>
      <c r="G33" s="84"/>
      <c r="H33" s="81"/>
      <c r="I33" s="81"/>
      <c r="J33" s="81"/>
      <c r="K33" s="81"/>
      <c r="L33" s="81"/>
      <c r="M33" s="84"/>
      <c r="N33" s="84"/>
      <c r="O33" s="84"/>
      <c r="P33" s="81"/>
    </row>
  </sheetData>
  <mergeCells count="5">
    <mergeCell ref="F1:G1"/>
    <mergeCell ref="A3:A4"/>
    <mergeCell ref="A5:A6"/>
    <mergeCell ref="A7:A10"/>
    <mergeCell ref="A11:A14"/>
  </mergeCells>
  <conditionalFormatting sqref="I3:J6 I26:J26 I21:J21 I15:J16 I13:J13 I10:J11 I8:J8 H3:H30 E1 E32:E33 H32:I33 H1:J2 H31:J31 K2:L31">
    <cfRule type="cellIs" dxfId="4" priority="5" operator="equal">
      <formula>"GND"</formula>
    </cfRule>
  </conditionalFormatting>
  <conditionalFormatting sqref="C15:D15">
    <cfRule type="cellIs" dxfId="3" priority="4" operator="equal">
      <formula>"GND"</formula>
    </cfRule>
  </conditionalFormatting>
  <conditionalFormatting sqref="C23:D23">
    <cfRule type="cellIs" dxfId="2" priority="3" operator="equal">
      <formula>"GND"</formula>
    </cfRule>
  </conditionalFormatting>
  <conditionalFormatting sqref="E16 E18 E20 E22 E24 E26 E28 E30">
    <cfRule type="cellIs" dxfId="1" priority="2" operator="equal">
      <formula>"GND"</formula>
    </cfRule>
  </conditionalFormatting>
  <conditionalFormatting sqref="E2">
    <cfRule type="cellIs" dxfId="0" priority="1" operator="equal">
      <formula>"GND"</formula>
    </cfRule>
  </conditionalFormatting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C95CC-F6AE-45D2-9705-55319A9C3F37}">
  <dimension ref="A1:I65"/>
  <sheetViews>
    <sheetView topLeftCell="A37" workbookViewId="0">
      <selection activeCell="I60" sqref="I60"/>
    </sheetView>
  </sheetViews>
  <sheetFormatPr defaultRowHeight="13.2"/>
  <cols>
    <col min="1" max="1" width="8.88671875" style="101"/>
    <col min="2" max="2" width="22.77734375" bestFit="1" customWidth="1"/>
    <col min="3" max="3" width="7.88671875" style="101" bestFit="1" customWidth="1"/>
    <col min="4" max="4" width="15.21875" bestFit="1" customWidth="1"/>
    <col min="5" max="5" width="7.88671875" style="101" bestFit="1" customWidth="1"/>
    <col min="6" max="6" width="22.77734375" bestFit="1" customWidth="1"/>
    <col min="7" max="7" width="34" bestFit="1" customWidth="1"/>
    <col min="9" max="9" width="13.44140625" bestFit="1" customWidth="1"/>
  </cols>
  <sheetData>
    <row r="1" spans="1:9" ht="14.4">
      <c r="A1" s="99" t="s">
        <v>294</v>
      </c>
      <c r="B1" s="78" t="s">
        <v>295</v>
      </c>
      <c r="C1" s="99" t="s">
        <v>296</v>
      </c>
      <c r="D1" s="99" t="s">
        <v>297</v>
      </c>
      <c r="E1" s="99" t="s">
        <v>298</v>
      </c>
      <c r="F1" s="99" t="s">
        <v>299</v>
      </c>
      <c r="G1" s="99" t="s">
        <v>199</v>
      </c>
      <c r="H1" s="81"/>
      <c r="I1" s="78" t="s">
        <v>300</v>
      </c>
    </row>
    <row r="2" spans="1:9" ht="14.4">
      <c r="A2" s="84">
        <v>1</v>
      </c>
      <c r="B2" s="81" t="s">
        <v>301</v>
      </c>
      <c r="C2" s="84" t="str">
        <f>IF(B2="GND","",IFERROR(INDEX(STDIO_J1B1_2x50!A:B,MATCH(B2,STDIO_J1B1_2x50!$B:$B,0),1),""))</f>
        <v/>
      </c>
      <c r="D2" s="81" t="str">
        <f>IF(B2="GND","GND",IFERROR(INDEX(STDIO_J1B1_2x50!A:B,MATCH(B2,STDIO_J1B1_2x50!$B:$B,0),2),""))</f>
        <v/>
      </c>
      <c r="E2" s="84" t="str">
        <f>IF(B2="GND","",IFERROR(INDEX(STDIO_J1B2_2x60!A:B,MATCH(B2,STDIO_J1B2_2x60!$B:$B,0),1),""))</f>
        <v/>
      </c>
      <c r="F2" s="81" t="str">
        <f>IF(B2="GND","GND",IFERROR(INDEX(STDIO_J1B2_2x60!A:B,MATCH(B2,STDIO_J1B2_2x60!$B:$B,0),2),""))</f>
        <v/>
      </c>
      <c r="G2" s="81" t="str">
        <f>IF(ISODD(A2),INDEX(PPV_Header!$E$2:$F$31,MATCH(A2,PPV_Header!$F$2:$F$31,0),1),INDEX(PPV_Header!$G$2:$H$31,MATCH(A2,PPV_Header!$G$2:$G$31,0),2))</f>
        <v>Connect to pin 60</v>
      </c>
      <c r="H2" s="81"/>
      <c r="I2" s="81"/>
    </row>
    <row r="3" spans="1:9" ht="14.4">
      <c r="A3" s="84">
        <v>2</v>
      </c>
      <c r="B3" s="81" t="s">
        <v>149</v>
      </c>
      <c r="C3" s="84" t="str">
        <f>IF(B3="GND","",IFERROR(INDEX(STDIO_J1B1_2x50!A:B,MATCH(B3,STDIO_J1B1_2x50!$B:$B,0),1),""))</f>
        <v/>
      </c>
      <c r="D3" s="81" t="str">
        <f>IF(B3="GND","GND",IFERROR(INDEX(STDIO_J1B1_2x50!A:B,MATCH(B3,STDIO_J1B1_2x50!$B:$B,0),2),""))</f>
        <v/>
      </c>
      <c r="E3" s="84">
        <f>IF(B3="GND","",IFERROR(INDEX(STDIO_J1B2_2x60!A:B,MATCH(B3,STDIO_J1B2_2x60!$B:$B,0),1),""))</f>
        <v>69</v>
      </c>
      <c r="F3" s="81" t="str">
        <f>IF(B3="GND","GND",IFERROR(INDEX(STDIO_J1B2_2x60!A:B,MATCH(B3,STDIO_J1B2_2x60!$B:$B,0),2),""))</f>
        <v>AD1_IN0_DP</v>
      </c>
      <c r="G3" s="81" t="str">
        <f>IF(ISODD(A3),INDEX(PPV_Header!$E$2:$F$31,MATCH(A3,PPV_Header!$F$2:$F$31,0),1),INDEX(PPV_Header!$G$2:$H$31,MATCH(A3,PPV_Header!$G$2:$G$31,0),2))</f>
        <v>P3V3_AUX_PPV</v>
      </c>
      <c r="H3" s="81"/>
      <c r="I3" s="81"/>
    </row>
    <row r="4" spans="1:9" ht="14.4">
      <c r="A4" s="84">
        <v>3</v>
      </c>
      <c r="B4" s="81" t="s">
        <v>302</v>
      </c>
      <c r="C4" s="84" t="str">
        <f>IF(B4="GND","",IFERROR(INDEX(STDIO_J1B1_2x50!A:B,MATCH(B4,STDIO_J1B1_2x50!$B:$B,0),1),""))</f>
        <v/>
      </c>
      <c r="D4" s="81" t="str">
        <f>IF(B4="GND","GND",IFERROR(INDEX(STDIO_J1B1_2x50!A:B,MATCH(B4,STDIO_J1B1_2x50!$B:$B,0),2),""))</f>
        <v/>
      </c>
      <c r="E4" s="84">
        <f>IF(B4="GND","",IFERROR(INDEX(STDIO_J1B2_2x60!A:B,MATCH(B4,STDIO_J1B2_2x60!$B:$B,0),1),""))</f>
        <v>49</v>
      </c>
      <c r="F4" s="81" t="str">
        <f>IF(B4="GND","GND",IFERROR(INDEX(STDIO_J1B2_2x60!A:B,MATCH(B4,STDIO_J1B2_2x60!$B:$B,0),2),""))</f>
        <v>DIO_HDR_OC_16</v>
      </c>
      <c r="G4" s="81" t="str">
        <f>IF(ISODD(A4),INDEX(PPV_Header!$E$2:$F$31,MATCH(A4,PPV_Header!$F$2:$F$31,0),1),INDEX(PPV_Header!$G$2:$H$31,MATCH(A4,PPV_Header!$G$2:$G$31,0),2))</f>
        <v>EV_GPU0_MEMHOT_N</v>
      </c>
      <c r="H4" s="81"/>
      <c r="I4" s="81"/>
    </row>
    <row r="5" spans="1:9" ht="14.4">
      <c r="A5" s="84">
        <v>4</v>
      </c>
      <c r="B5" s="81" t="s">
        <v>150</v>
      </c>
      <c r="C5" s="84" t="str">
        <f>IF(B5="GND","",IFERROR(INDEX(STDIO_J1B1_2x50!A:B,MATCH(B5,STDIO_J1B1_2x50!$B:$B,0),1),""))</f>
        <v/>
      </c>
      <c r="D5" s="81" t="str">
        <f>IF(B5="GND","GND",IFERROR(INDEX(STDIO_J1B1_2x50!A:B,MATCH(B5,STDIO_J1B1_2x50!$B:$B,0),2),""))</f>
        <v/>
      </c>
      <c r="E5" s="84">
        <f>IF(B5="GND","",IFERROR(INDEX(STDIO_J1B2_2x60!A:B,MATCH(B5,STDIO_J1B2_2x60!$B:$B,0),1),""))</f>
        <v>71</v>
      </c>
      <c r="F5" s="81" t="str">
        <f>IF(B5="GND","GND",IFERROR(INDEX(STDIO_J1B2_2x60!A:B,MATCH(B5,STDIO_J1B2_2x60!$B:$B,0),2),""))</f>
        <v>AD1_IN0_DN</v>
      </c>
      <c r="G5" s="81" t="str">
        <f>IF(ISODD(A5),INDEX(PPV_Header!$E$2:$F$31,MATCH(A5,PPV_Header!$F$2:$F$31,0),1),INDEX(PPV_Header!$G$2:$H$31,MATCH(A5,PPV_Header!$G$2:$G$31,0),2))</f>
        <v>EV_P12V_SYS</v>
      </c>
      <c r="H5" s="81"/>
      <c r="I5" s="81" t="s">
        <v>303</v>
      </c>
    </row>
    <row r="6" spans="1:9" ht="14.4">
      <c r="A6" s="84">
        <v>5</v>
      </c>
      <c r="B6" s="81" t="s">
        <v>304</v>
      </c>
      <c r="C6" s="84" t="str">
        <f>IF(B6="GND","",IFERROR(INDEX(STDIO_J1B1_2x50!A:B,MATCH(B6,STDIO_J1B1_2x50!$B:$B,0),1),""))</f>
        <v/>
      </c>
      <c r="D6" s="81" t="str">
        <f>IF(B6="GND","GND",IFERROR(INDEX(STDIO_J1B1_2x50!A:B,MATCH(B6,STDIO_J1B1_2x50!$B:$B,0),2),""))</f>
        <v/>
      </c>
      <c r="E6" s="84">
        <f>IF(B6="GND","",IFERROR(INDEX(STDIO_J1B2_2x60!A:B,MATCH(B6,STDIO_J1B2_2x60!$B:$B,0),1),""))</f>
        <v>51</v>
      </c>
      <c r="F6" s="81" t="str">
        <f>IF(B6="GND","GND",IFERROR(INDEX(STDIO_J1B2_2x60!A:B,MATCH(B6,STDIO_J1B2_2x60!$B:$B,0),2),""))</f>
        <v>DIO_HDR_OC_17</v>
      </c>
      <c r="G6" s="81" t="str">
        <f>IF(ISODD(A6),INDEX(PPV_Header!$E$2:$F$31,MATCH(A6,PPV_Header!$F$2:$F$31,0),1),INDEX(PPV_Header!$G$2:$H$31,MATCH(A6,PPV_Header!$G$2:$G$31,0),2))</f>
        <v>EV_GPU01_PMAX_EVENT_N</v>
      </c>
      <c r="H6" s="81"/>
      <c r="I6" s="81"/>
    </row>
    <row r="7" spans="1:9" ht="14.4">
      <c r="A7" s="84">
        <v>6</v>
      </c>
      <c r="B7" s="81" t="s">
        <v>151</v>
      </c>
      <c r="C7" s="84" t="str">
        <f>IF(B7="GND","",IFERROR(INDEX(STDIO_J1B1_2x50!A:B,MATCH(B7,STDIO_J1B1_2x50!$B:$B,0),1),""))</f>
        <v/>
      </c>
      <c r="D7" s="81" t="str">
        <f>IF(B7="GND","GND",IFERROR(INDEX(STDIO_J1B1_2x50!A:B,MATCH(B7,STDIO_J1B1_2x50!$B:$B,0),2),""))</f>
        <v/>
      </c>
      <c r="E7" s="84">
        <f>IF(B7="GND","",IFERROR(INDEX(STDIO_J1B2_2x60!A:B,MATCH(B7,STDIO_J1B2_2x60!$B:$B,0),1),""))</f>
        <v>75</v>
      </c>
      <c r="F7" s="81" t="str">
        <f>IF(B7="GND","GND",IFERROR(INDEX(STDIO_J1B2_2x60!A:B,MATCH(B7,STDIO_J1B2_2x60!$B:$B,0),2),""))</f>
        <v>AD1_IN1_DP</v>
      </c>
      <c r="G7" s="81" t="str">
        <f>IF(ISODD(A7),INDEX(PPV_Header!$E$2:$F$31,MATCH(A7,PPV_Header!$F$2:$F$31,0),1),INDEX(PPV_Header!$G$2:$H$31,MATCH(A7,PPV_Header!$G$2:$G$31,0),2))</f>
        <v>EV_P5V</v>
      </c>
      <c r="H7" s="81"/>
      <c r="I7" s="81"/>
    </row>
    <row r="8" spans="1:9" ht="14.4">
      <c r="A8" s="84">
        <v>7</v>
      </c>
      <c r="B8" s="81" t="s">
        <v>305</v>
      </c>
      <c r="C8" s="84">
        <f>IF(B8="GND","",IFERROR(INDEX(STDIO_J1B1_2x50!A:B,MATCH(B8,STDIO_J1B1_2x50!$B:$B,0),1),""))</f>
        <v>5</v>
      </c>
      <c r="D8" s="81" t="str">
        <f>IF(B8="GND","GND",IFERROR(INDEX(STDIO_J1B1_2x50!A:B,MATCH(B8,STDIO_J1B1_2x50!$B:$B,0),2),""))</f>
        <v>DIO_HDR_34</v>
      </c>
      <c r="E8" s="84" t="str">
        <f>IF(B8="GND","",IFERROR(INDEX(STDIO_J1B2_2x60!A:B,MATCH(B8,STDIO_J1B2_2x60!$B:$B,0),1),""))</f>
        <v/>
      </c>
      <c r="F8" s="81" t="str">
        <f>IF(B8="GND","GND",IFERROR(INDEX(STDIO_J1B2_2x60!A:B,MATCH(B8,STDIO_J1B2_2x60!$B:$B,0),2),""))</f>
        <v/>
      </c>
      <c r="G8" s="81" t="str">
        <f>IF(ISODD(A8),INDEX(PPV_Header!$E$2:$F$31,MATCH(A8,PPV_Header!$F$2:$F$31,0),1),INDEX(PPV_Header!$G$2:$H$31,MATCH(A8,PPV_Header!$G$2:$G$31,0),2))</f>
        <v>H_CD01_SPEED_CONFIG_STRAP_R</v>
      </c>
      <c r="H8" s="81"/>
      <c r="I8" s="81"/>
    </row>
    <row r="9" spans="1:9" ht="14.4">
      <c r="A9" s="84">
        <v>8</v>
      </c>
      <c r="B9" s="81" t="s">
        <v>152</v>
      </c>
      <c r="C9" s="84" t="str">
        <f>IF(B9="GND","",IFERROR(INDEX(STDIO_J1B1_2x50!A:B,MATCH(B9,STDIO_J1B1_2x50!$B:$B,0),1),""))</f>
        <v/>
      </c>
      <c r="D9" s="81" t="str">
        <f>IF(B9="GND","GND",IFERROR(INDEX(STDIO_J1B1_2x50!A:B,MATCH(B9,STDIO_J1B1_2x50!$B:$B,0),2),""))</f>
        <v/>
      </c>
      <c r="E9" s="84">
        <f>IF(B9="GND","",IFERROR(INDEX(STDIO_J1B2_2x60!A:B,MATCH(B9,STDIO_J1B2_2x60!$B:$B,0),1),""))</f>
        <v>77</v>
      </c>
      <c r="F9" s="81" t="str">
        <f>IF(B9="GND","GND",IFERROR(INDEX(STDIO_J1B2_2x60!A:B,MATCH(B9,STDIO_J1B2_2x60!$B:$B,0),2),""))</f>
        <v>AD1_IN1_DN</v>
      </c>
      <c r="G9" s="81" t="str">
        <f>IF(ISODD(A9),INDEX(PPV_Header!$E$2:$F$31,MATCH(A9,PPV_Header!$F$2:$F$31,0),1),INDEX(PPV_Header!$G$2:$H$31,MATCH(A9,PPV_Header!$G$2:$G$31,0),2))</f>
        <v>EV_PVPP</v>
      </c>
      <c r="H9" s="81"/>
      <c r="I9" s="81"/>
    </row>
    <row r="10" spans="1:9" ht="14.4">
      <c r="A10" s="84">
        <v>9</v>
      </c>
      <c r="B10" s="81" t="s">
        <v>306</v>
      </c>
      <c r="C10" s="84">
        <f>IF(B10="GND","",IFERROR(INDEX(STDIO_J1B1_2x50!A:B,MATCH(B10,STDIO_J1B1_2x50!$B:$B,0),1),""))</f>
        <v>7</v>
      </c>
      <c r="D10" s="81" t="str">
        <f>IF(B10="GND","GND",IFERROR(INDEX(STDIO_J1B1_2x50!A:B,MATCH(B10,STDIO_J1B1_2x50!$B:$B,0),2),""))</f>
        <v>DIO_HDR_35</v>
      </c>
      <c r="E10" s="84" t="str">
        <f>IF(B10="GND","",IFERROR(INDEX(STDIO_J1B2_2x60!A:B,MATCH(B10,STDIO_J1B2_2x60!$B:$B,0),1),""))</f>
        <v/>
      </c>
      <c r="F10" s="81" t="str">
        <f>IF(B10="GND","GND",IFERROR(INDEX(STDIO_J1B2_2x60!A:B,MATCH(B10,STDIO_J1B2_2x60!$B:$B,0),2),""))</f>
        <v/>
      </c>
      <c r="G10" s="81" t="str">
        <f>IF(ISODD(A10),INDEX(PPV_Header!$E$2:$F$31,MATCH(A10,PPV_Header!$F$2:$F$31,0),1),INDEX(PPV_Header!$G$2:$H$31,MATCH(A10,PPV_Header!$G$2:$G$31,0),2))</f>
        <v>NC_PPV_IO09</v>
      </c>
      <c r="H10" s="81"/>
      <c r="I10" s="81"/>
    </row>
    <row r="11" spans="1:9" ht="14.4">
      <c r="A11" s="120">
        <v>10</v>
      </c>
      <c r="B11" s="100" t="s">
        <v>225</v>
      </c>
      <c r="C11" s="120" t="str">
        <f>IF(B11="GND","",IFERROR(INDEX(STDIO_J1B1_2x50!A:B,MATCH(B11,STDIO_J1B1_2x50!$B:$B,0),1),""))</f>
        <v/>
      </c>
      <c r="D11" s="100" t="str">
        <f>IF(B11="GND","GND",IFERROR(INDEX(STDIO_J1B1_2x50!A:B,MATCH(B11,STDIO_J1B1_2x50!$B:$B,0),2),""))</f>
        <v>GND</v>
      </c>
      <c r="E11" s="120" t="str">
        <f>IF(B11="GND","",IFERROR(INDEX(STDIO_J1B2_2x60!A:B,MATCH(B11,STDIO_J1B2_2x60!$B:$B,0),1),""))</f>
        <v/>
      </c>
      <c r="F11" s="100" t="str">
        <f>IF(B11="GND","GND",IFERROR(INDEX(STDIO_J1B2_2x60!A:B,MATCH(B11,STDIO_J1B2_2x60!$B:$B,0),2),""))</f>
        <v>GND</v>
      </c>
      <c r="G11" s="100" t="str">
        <f>IF(ISODD(A11),INDEX(PPV_Header!$E$2:$F$31,MATCH(A11,PPV_Header!$F$2:$F$31,0),1),INDEX(PPV_Header!$G$2:$H$31,MATCH(A11,PPV_Header!$G$2:$G$31,0),2))</f>
        <v>GND</v>
      </c>
      <c r="H11" s="81"/>
      <c r="I11" s="81"/>
    </row>
    <row r="12" spans="1:9" ht="14.4">
      <c r="A12" s="84">
        <v>11</v>
      </c>
      <c r="B12" s="81" t="s">
        <v>307</v>
      </c>
      <c r="C12" s="84">
        <f>IF(B12="GND","",IFERROR(INDEX(STDIO_J1B1_2x50!A:B,MATCH(B12,STDIO_J1B1_2x50!$B:$B,0),1),""))</f>
        <v>9</v>
      </c>
      <c r="D12" s="81" t="str">
        <f>IF(B12="GND","GND",IFERROR(INDEX(STDIO_J1B1_2x50!A:B,MATCH(B12,STDIO_J1B1_2x50!$B:$B,0),2),""))</f>
        <v>DIO_HDR_36</v>
      </c>
      <c r="E12" s="84" t="str">
        <f>IF(B12="GND","",IFERROR(INDEX(STDIO_J1B2_2x60!A:B,MATCH(B12,STDIO_J1B2_2x60!$B:$B,0),1),""))</f>
        <v/>
      </c>
      <c r="F12" s="81" t="str">
        <f>IF(B12="GND","GND",IFERROR(INDEX(STDIO_J1B2_2x60!A:B,MATCH(B12,STDIO_J1B2_2x60!$B:$B,0),2),""))</f>
        <v/>
      </c>
      <c r="G12" s="81" t="str">
        <f>IF(ISODD(A12),INDEX(PPV_Header!$E$2:$F$31,MATCH(A12,PPV_Header!$F$2:$F$31,0),1),INDEX(PPV_Header!$G$2:$H$31,MATCH(A12,PPV_Header!$G$2:$G$31,0),2))</f>
        <v>EV_AMC_BOOTLOADER_EN_N</v>
      </c>
      <c r="H12" s="81"/>
      <c r="I12" s="81"/>
    </row>
    <row r="13" spans="1:9" ht="14.4">
      <c r="A13" s="84">
        <v>12</v>
      </c>
      <c r="B13" s="81" t="s">
        <v>153</v>
      </c>
      <c r="C13" s="84" t="str">
        <f>IF(B13="GND","",IFERROR(INDEX(STDIO_J1B1_2x50!A:B,MATCH(B13,STDIO_J1B1_2x50!$B:$B,0),1),""))</f>
        <v/>
      </c>
      <c r="D13" s="81" t="str">
        <f>IF(B13="GND","GND",IFERROR(INDEX(STDIO_J1B1_2x50!A:B,MATCH(B13,STDIO_J1B1_2x50!$B:$B,0),2),""))</f>
        <v/>
      </c>
      <c r="E13" s="84">
        <f>IF(B13="GND","",IFERROR(INDEX(STDIO_J1B2_2x60!A:B,MATCH(B13,STDIO_J1B2_2x60!$B:$B,0),1),""))</f>
        <v>81</v>
      </c>
      <c r="F13" s="81" t="str">
        <f>IF(B13="GND","GND",IFERROR(INDEX(STDIO_J1B2_2x60!A:B,MATCH(B13,STDIO_J1B2_2x60!$B:$B,0),2),""))</f>
        <v>AD1_IN2_DP</v>
      </c>
      <c r="G13" s="81" t="str">
        <f>IF(ISODD(A13),INDEX(PPV_Header!$E$2:$F$31,MATCH(A13,PPV_Header!$F$2:$F$31,0),1),INDEX(PPV_Header!$G$2:$H$31,MATCH(A13,PPV_Header!$G$2:$G$31,0),2))</f>
        <v>EV_P1V8_VCCFA_EHV</v>
      </c>
      <c r="H13" s="81"/>
      <c r="I13" s="81"/>
    </row>
    <row r="14" spans="1:9" ht="14.4">
      <c r="A14" s="84">
        <v>13</v>
      </c>
      <c r="B14" s="81" t="s">
        <v>308</v>
      </c>
      <c r="C14" s="84">
        <f>IF(B14="GND","",IFERROR(INDEX(STDIO_J1B1_2x50!A:B,MATCH(B14,STDIO_J1B1_2x50!$B:$B,0),1),""))</f>
        <v>11</v>
      </c>
      <c r="D14" s="81" t="str">
        <f>IF(B14="GND","GND",IFERROR(INDEX(STDIO_J1B1_2x50!A:B,MATCH(B14,STDIO_J1B1_2x50!$B:$B,0),2),""))</f>
        <v>DIO_HDR_37</v>
      </c>
      <c r="E14" s="84" t="str">
        <f>IF(B14="GND","",IFERROR(INDEX(STDIO_J1B2_2x60!A:B,MATCH(B14,STDIO_J1B2_2x60!$B:$B,0),1),""))</f>
        <v/>
      </c>
      <c r="F14" s="81" t="str">
        <f>IF(B14="GND","GND",IFERROR(INDEX(STDIO_J1B2_2x60!A:B,MATCH(B14,STDIO_J1B2_2x60!$B:$B,0),2),""))</f>
        <v/>
      </c>
      <c r="G14" s="81" t="str">
        <f>IF(ISODD(A14),INDEX(PPV_Header!$E$2:$F$31,MATCH(A14,PPV_Header!$F$2:$F$31,0),1),INDEX(PPV_Header!$G$2:$H$31,MATCH(A14,PPV_Header!$G$2:$G$31,0),2))</f>
        <v>EV_GPU01_LVC3_CXL_MODE</v>
      </c>
      <c r="H14" s="81"/>
      <c r="I14" s="81"/>
    </row>
    <row r="15" spans="1:9" ht="14.4">
      <c r="A15" s="84">
        <v>14</v>
      </c>
      <c r="B15" s="81" t="s">
        <v>154</v>
      </c>
      <c r="C15" s="84" t="str">
        <f>IF(B15="GND","",IFERROR(INDEX(STDIO_J1B1_2x50!A:B,MATCH(B15,STDIO_J1B1_2x50!$B:$B,0),1),""))</f>
        <v/>
      </c>
      <c r="D15" s="81" t="str">
        <f>IF(B15="GND","GND",IFERROR(INDEX(STDIO_J1B1_2x50!A:B,MATCH(B15,STDIO_J1B1_2x50!$B:$B,0),2),""))</f>
        <v/>
      </c>
      <c r="E15" s="84">
        <f>IF(B15="GND","",IFERROR(INDEX(STDIO_J1B2_2x60!A:B,MATCH(B15,STDIO_J1B2_2x60!$B:$B,0),1),""))</f>
        <v>83</v>
      </c>
      <c r="F15" s="81" t="str">
        <f>IF(B15="GND","GND",IFERROR(INDEX(STDIO_J1B2_2x60!A:B,MATCH(B15,STDIO_J1B2_2x60!$B:$B,0),2),""))</f>
        <v>AD1_IN2_DN</v>
      </c>
      <c r="G15" s="81" t="str">
        <f>IF(ISODD(A15),INDEX(PPV_Header!$E$2:$F$31,MATCH(A15,PPV_Header!$F$2:$F$31,0),1),INDEX(PPV_Header!$G$2:$H$31,MATCH(A15,PPV_Header!$G$2:$G$31,0),2))</f>
        <v>EV_P1V8_VCCFA_EHV_FIVRA</v>
      </c>
      <c r="H15" s="81"/>
      <c r="I15" s="81"/>
    </row>
    <row r="16" spans="1:9" ht="14.4">
      <c r="A16" s="84">
        <v>15</v>
      </c>
      <c r="B16" s="81" t="s">
        <v>309</v>
      </c>
      <c r="C16" s="84">
        <f>IF(B16="GND","",IFERROR(INDEX(STDIO_J1B1_2x50!A:B,MATCH(B16,STDIO_J1B1_2x50!$B:$B,0),1),""))</f>
        <v>13</v>
      </c>
      <c r="D16" s="81" t="str">
        <f>IF(B16="GND","GND",IFERROR(INDEX(STDIO_J1B1_2x50!A:B,MATCH(B16,STDIO_J1B1_2x50!$B:$B,0),2),""))</f>
        <v>DIO_HDR_38</v>
      </c>
      <c r="E16" s="84" t="str">
        <f>IF(B16="GND","",IFERROR(INDEX(STDIO_J1B2_2x60!A:B,MATCH(B16,STDIO_J1B2_2x60!$B:$B,0),1),""))</f>
        <v/>
      </c>
      <c r="F16" s="81" t="str">
        <f>IF(B16="GND","GND",IFERROR(INDEX(STDIO_J1B2_2x60!A:B,MATCH(B16,STDIO_J1B2_2x60!$B:$B,0),2),""))</f>
        <v/>
      </c>
      <c r="G16" s="81" t="str">
        <f>IF(ISODD(A16),INDEX(PPV_Header!$E$2:$F$31,MATCH(A16,PPV_Header!$F$2:$F$31,0),1),INDEX(PPV_Header!$G$2:$H$31,MATCH(A16,PPV_Header!$G$2:$G$31,0),2))</f>
        <v>EV_LVC3_GPU0_RESETOUT_R_N</v>
      </c>
      <c r="H16" s="81"/>
      <c r="I16" s="81"/>
    </row>
    <row r="17" spans="1:9" ht="14.4">
      <c r="A17" s="84">
        <v>16</v>
      </c>
      <c r="B17" s="81" t="s">
        <v>155</v>
      </c>
      <c r="C17" s="84" t="str">
        <f>IF(B17="GND","",IFERROR(INDEX(STDIO_J1B1_2x50!A:B,MATCH(B17,STDIO_J1B1_2x50!$B:$B,0),1),""))</f>
        <v/>
      </c>
      <c r="D17" s="81" t="str">
        <f>IF(B17="GND","GND",IFERROR(INDEX(STDIO_J1B1_2x50!A:B,MATCH(B17,STDIO_J1B1_2x50!$B:$B,0),2),""))</f>
        <v/>
      </c>
      <c r="E17" s="84">
        <f>IF(B17="GND","",IFERROR(INDEX(STDIO_J1B2_2x60!A:B,MATCH(B17,STDIO_J1B2_2x60!$B:$B,0),1),""))</f>
        <v>87</v>
      </c>
      <c r="F17" s="81" t="str">
        <f>IF(B17="GND","GND",IFERROR(INDEX(STDIO_J1B2_2x60!A:B,MATCH(B17,STDIO_J1B2_2x60!$B:$B,0),2),""))</f>
        <v>AD1_IN3_DP</v>
      </c>
      <c r="G17" s="81" t="str">
        <f>IF(ISODD(A17),INDEX(PPV_Header!$E$2:$F$31,MATCH(A17,PPV_Header!$F$2:$F$31,0),1),INDEX(PPV_Header!$G$2:$H$31,MATCH(A17,PPV_Header!$G$2:$G$31,0),2))</f>
        <v>EV_P0V75_VCCANR_VDD_CD0</v>
      </c>
      <c r="H17" s="81"/>
      <c r="I17" s="81"/>
    </row>
    <row r="18" spans="1:9" ht="14.4">
      <c r="A18" s="84">
        <v>17</v>
      </c>
      <c r="B18" s="81" t="s">
        <v>310</v>
      </c>
      <c r="C18" s="84">
        <f>IF(B18="GND","",IFERROR(INDEX(STDIO_J1B1_2x50!A:B,MATCH(B18,STDIO_J1B1_2x50!$B:$B,0),1),""))</f>
        <v>15</v>
      </c>
      <c r="D18" s="81" t="str">
        <f>IF(B18="GND","GND",IFERROR(INDEX(STDIO_J1B1_2x50!A:B,MATCH(B18,STDIO_J1B1_2x50!$B:$B,0),2),""))</f>
        <v>DIO_HDR_39</v>
      </c>
      <c r="E18" s="84" t="str">
        <f>IF(B18="GND","",IFERROR(INDEX(STDIO_J1B2_2x60!A:B,MATCH(B18,STDIO_J1B2_2x60!$B:$B,0),1),""))</f>
        <v/>
      </c>
      <c r="F18" s="81" t="str">
        <f>IF(B18="GND","GND",IFERROR(INDEX(STDIO_J1B2_2x60!A:B,MATCH(B18,STDIO_J1B2_2x60!$B:$B,0),2),""))</f>
        <v/>
      </c>
      <c r="G18" s="81" t="str">
        <f>IF(ISODD(A18),INDEX(PPV_Header!$E$2:$F$31,MATCH(A18,PPV_Header!$F$2:$F$31,0),1),INDEX(PPV_Header!$G$2:$H$31,MATCH(A18,PPV_Header!$G$2:$G$31,0),2))</f>
        <v>EV_MFG_MODE_N</v>
      </c>
      <c r="H18" s="81"/>
      <c r="I18" s="81"/>
    </row>
    <row r="19" spans="1:9" ht="14.4">
      <c r="A19" s="84">
        <v>18</v>
      </c>
      <c r="B19" s="81" t="s">
        <v>156</v>
      </c>
      <c r="C19" s="84" t="str">
        <f>IF(B19="GND","",IFERROR(INDEX(STDIO_J1B1_2x50!A:B,MATCH(B19,STDIO_J1B1_2x50!$B:$B,0),1),""))</f>
        <v/>
      </c>
      <c r="D19" s="81" t="str">
        <f>IF(B19="GND","GND",IFERROR(INDEX(STDIO_J1B1_2x50!A:B,MATCH(B19,STDIO_J1B1_2x50!$B:$B,0),2),""))</f>
        <v/>
      </c>
      <c r="E19" s="84">
        <f>IF(B19="GND","",IFERROR(INDEX(STDIO_J1B2_2x60!A:B,MATCH(B19,STDIO_J1B2_2x60!$B:$B,0),1),""))</f>
        <v>89</v>
      </c>
      <c r="F19" s="81" t="str">
        <f>IF(B19="GND","GND",IFERROR(INDEX(STDIO_J1B2_2x60!A:B,MATCH(B19,STDIO_J1B2_2x60!$B:$B,0),2),""))</f>
        <v>AD1_IN3_DN</v>
      </c>
      <c r="G19" s="81" t="str">
        <f>IF(ISODD(A19),INDEX(PPV_Header!$E$2:$F$31,MATCH(A19,PPV_Header!$F$2:$F$31,0),1),INDEX(PPV_Header!$G$2:$H$31,MATCH(A19,PPV_Header!$G$2:$G$31,0),2))</f>
        <v>EV_P0V75_VCCANR_VDD_CD1</v>
      </c>
      <c r="H19" s="81"/>
      <c r="I19" s="81"/>
    </row>
    <row r="20" spans="1:9" ht="14.4">
      <c r="A20" s="84">
        <v>19</v>
      </c>
      <c r="B20" s="81" t="s">
        <v>311</v>
      </c>
      <c r="C20" s="84">
        <f>IF(B20="GND","",IFERROR(INDEX(STDIO_J1B1_2x50!A:B,MATCH(B20,STDIO_J1B1_2x50!$B:$B,0),1),""))</f>
        <v>19</v>
      </c>
      <c r="D20" s="81" t="str">
        <f>IF(B20="GND","GND",IFERROR(INDEX(STDIO_J1B1_2x50!A:B,MATCH(B20,STDIO_J1B1_2x50!$B:$B,0),2),""))</f>
        <v>DIO_HDR_OC_40</v>
      </c>
      <c r="E20" s="84" t="str">
        <f>IF(B20="GND","",IFERROR(INDEX(STDIO_J1B2_2x60!A:B,MATCH(B20,STDIO_J1B2_2x60!$B:$B,0),1),""))</f>
        <v/>
      </c>
      <c r="F20" s="81" t="str">
        <f>IF(B20="GND","GND",IFERROR(INDEX(STDIO_J1B2_2x60!A:B,MATCH(B20,STDIO_J1B2_2x60!$B:$B,0),2),""))</f>
        <v/>
      </c>
      <c r="G20" s="81" t="str">
        <f>IF(ISODD(A20),INDEX(PPV_Header!$E$2:$F$31,MATCH(A20,PPV_Header!$F$2:$F$31,0),1),INDEX(PPV_Header!$G$2:$H$31,MATCH(A20,PPV_Header!$G$2:$G$31,0),2))</f>
        <v>EV_RST_GPU01_PERST_N</v>
      </c>
      <c r="H20" s="81"/>
      <c r="I20" s="81"/>
    </row>
    <row r="21" spans="1:9" ht="14.4">
      <c r="A21" s="120">
        <v>20</v>
      </c>
      <c r="B21" s="100" t="s">
        <v>225</v>
      </c>
      <c r="C21" s="120" t="str">
        <f>IF(B21="GND","",IFERROR(INDEX(STDIO_J1B1_2x50!A:B,MATCH(B21,STDIO_J1B1_2x50!$B:$B,0),1),""))</f>
        <v/>
      </c>
      <c r="D21" s="100" t="str">
        <f>IF(B21="GND","GND",IFERROR(INDEX(STDIO_J1B1_2x50!A:B,MATCH(B21,STDIO_J1B1_2x50!$B:$B,0),2),""))</f>
        <v>GND</v>
      </c>
      <c r="E21" s="120" t="str">
        <f>IF(B21="GND","",IFERROR(INDEX(STDIO_J1B2_2x60!A:B,MATCH(B21,STDIO_J1B2_2x60!$B:$B,0),1),""))</f>
        <v/>
      </c>
      <c r="F21" s="100" t="str">
        <f>IF(B21="GND","GND",IFERROR(INDEX(STDIO_J1B2_2x60!A:B,MATCH(B21,STDIO_J1B2_2x60!$B:$B,0),2),""))</f>
        <v>GND</v>
      </c>
      <c r="G21" s="100" t="str">
        <f>IF(ISODD(A21),INDEX(PPV_Header!$E$2:$F$31,MATCH(A21,PPV_Header!$F$2:$F$31,0),1),INDEX(PPV_Header!$G$2:$H$31,MATCH(A21,PPV_Header!$G$2:$G$31,0),2))</f>
        <v>GND</v>
      </c>
      <c r="H21" s="81"/>
      <c r="I21" s="81"/>
    </row>
    <row r="22" spans="1:9" ht="14.4">
      <c r="A22" s="84">
        <v>21</v>
      </c>
      <c r="B22" s="81" t="s">
        <v>312</v>
      </c>
      <c r="C22" s="84">
        <f>IF(B22="GND","",IFERROR(INDEX(STDIO_J1B1_2x50!A:B,MATCH(B22,STDIO_J1B1_2x50!$B:$B,0),1),""))</f>
        <v>21</v>
      </c>
      <c r="D22" s="81" t="str">
        <f>IF(B22="GND","GND",IFERROR(INDEX(STDIO_J1B1_2x50!A:B,MATCH(B22,STDIO_J1B1_2x50!$B:$B,0),2),""))</f>
        <v>DIO_HDR_OC_41</v>
      </c>
      <c r="E22" s="84" t="str">
        <f>IF(B22="GND","",IFERROR(INDEX(STDIO_J1B2_2x60!A:B,MATCH(B22,STDIO_J1B2_2x60!$B:$B,0),1),""))</f>
        <v/>
      </c>
      <c r="F22" s="81" t="str">
        <f>IF(B22="GND","GND",IFERROR(INDEX(STDIO_J1B2_2x60!A:B,MATCH(B22,STDIO_J1B2_2x60!$B:$B,0),2),""))</f>
        <v/>
      </c>
      <c r="G22" s="81" t="str">
        <f>IF(ISODD(A22),INDEX(PPV_Header!$E$2:$F$31,MATCH(A22,PPV_Header!$F$2:$F$31,0),1),INDEX(PPV_Header!$G$2:$H$31,MATCH(A22,PPV_Header!$G$2:$G$31,0),2))</f>
        <v>EV_GPU01_PUNIT_CATERR_R_N</v>
      </c>
      <c r="H22" s="81"/>
      <c r="I22" s="81"/>
    </row>
    <row r="23" spans="1:9" ht="14.4">
      <c r="A23" s="84">
        <v>22</v>
      </c>
      <c r="B23" s="81" t="s">
        <v>157</v>
      </c>
      <c r="C23" s="84" t="str">
        <f>IF(B23="GND","",IFERROR(INDEX(STDIO_J1B1_2x50!A:B,MATCH(B23,STDIO_J1B1_2x50!$B:$B,0),1),""))</f>
        <v/>
      </c>
      <c r="D23" s="81" t="str">
        <f>IF(B23="GND","GND",IFERROR(INDEX(STDIO_J1B1_2x50!A:B,MATCH(B23,STDIO_J1B1_2x50!$B:$B,0),2),""))</f>
        <v/>
      </c>
      <c r="E23" s="84">
        <f>IF(B23="GND","",IFERROR(INDEX(STDIO_J1B2_2x60!A:B,MATCH(B23,STDIO_J1B2_2x60!$B:$B,0),1),""))</f>
        <v>2</v>
      </c>
      <c r="F23" s="81" t="str">
        <f>IF(B23="GND","GND",IFERROR(INDEX(STDIO_J1B2_2x60!A:B,MATCH(B23,STDIO_J1B2_2x60!$B:$B,0),2),""))</f>
        <v>AD2_IN0_DP</v>
      </c>
      <c r="G23" s="81" t="str">
        <f>IF(ISODD(A23),INDEX(PPV_Header!$E$2:$F$31,MATCH(A23,PPV_Header!$F$2:$F$31,0),1),INDEX(PPV_Header!$G$2:$H$31,MATCH(A23,PPV_Header!$G$2:$G$31,0),2))</f>
        <v>EV_P0V75_VCCANR_IO_CD0</v>
      </c>
      <c r="H23" s="81"/>
      <c r="I23" s="81"/>
    </row>
    <row r="24" spans="1:9" ht="14.4">
      <c r="A24" s="84">
        <v>23</v>
      </c>
      <c r="B24" s="81" t="s">
        <v>313</v>
      </c>
      <c r="C24" s="84">
        <f>IF(B24="GND","",IFERROR(INDEX(STDIO_J1B1_2x50!A:B,MATCH(B24,STDIO_J1B1_2x50!$B:$B,0),1),""))</f>
        <v>23</v>
      </c>
      <c r="D24" s="81" t="str">
        <f>IF(B24="GND","GND",IFERROR(INDEX(STDIO_J1B1_2x50!A:B,MATCH(B24,STDIO_J1B1_2x50!$B:$B,0),2),""))</f>
        <v>DIO_HDR_OC_42</v>
      </c>
      <c r="E24" s="84" t="str">
        <f>IF(B24="GND","",IFERROR(INDEX(STDIO_J1B2_2x60!A:B,MATCH(B24,STDIO_J1B2_2x60!$B:$B,0),1),""))</f>
        <v/>
      </c>
      <c r="F24" s="81" t="str">
        <f>IF(B24="GND","GND",IFERROR(INDEX(STDIO_J1B2_2x60!A:B,MATCH(B24,STDIO_J1B2_2x60!$B:$B,0),2),""))</f>
        <v/>
      </c>
      <c r="G24" s="81" t="str">
        <f>IF(ISODD(A24),INDEX(PPV_Header!$E$2:$F$31,MATCH(A24,PPV_Header!$F$2:$F$31,0),1),INDEX(PPV_Header!$G$2:$H$31,MATCH(A24,PPV_Header!$G$2:$G$31,0),2))</f>
        <v>EV_AMC_FBRK_N</v>
      </c>
      <c r="H24" s="81"/>
      <c r="I24" s="81"/>
    </row>
    <row r="25" spans="1:9" ht="14.4">
      <c r="A25" s="84">
        <v>24</v>
      </c>
      <c r="B25" s="81" t="s">
        <v>158</v>
      </c>
      <c r="C25" s="84" t="str">
        <f>IF(B25="GND","",IFERROR(INDEX(STDIO_J1B1_2x50!A:B,MATCH(B25,STDIO_J1B1_2x50!$B:$B,0),1),""))</f>
        <v/>
      </c>
      <c r="D25" s="81" t="str">
        <f>IF(B25="GND","GND",IFERROR(INDEX(STDIO_J1B1_2x50!A:B,MATCH(B25,STDIO_J1B1_2x50!$B:$B,0),2),""))</f>
        <v/>
      </c>
      <c r="E25" s="84">
        <f>IF(B25="GND","",IFERROR(INDEX(STDIO_J1B2_2x60!A:B,MATCH(B25,STDIO_J1B2_2x60!$B:$B,0),1),""))</f>
        <v>4</v>
      </c>
      <c r="F25" s="81" t="str">
        <f>IF(B25="GND","GND",IFERROR(INDEX(STDIO_J1B2_2x60!A:B,MATCH(B25,STDIO_J1B2_2x60!$B:$B,0),2),""))</f>
        <v>AD2_IN0_DN</v>
      </c>
      <c r="G25" s="81" t="str">
        <f>IF(ISODD(A25),INDEX(PPV_Header!$E$2:$F$31,MATCH(A25,PPV_Header!$F$2:$F$31,0),1),INDEX(PPV_Header!$G$2:$H$31,MATCH(A25,PPV_Header!$G$2:$G$31,0),2))</f>
        <v>EV_P0V75_VCCANR_IO_CD1</v>
      </c>
      <c r="H25" s="81"/>
      <c r="I25" s="81"/>
    </row>
    <row r="26" spans="1:9" ht="14.4">
      <c r="A26" s="84">
        <v>25</v>
      </c>
      <c r="B26" s="81" t="s">
        <v>314</v>
      </c>
      <c r="C26" s="84">
        <f>IF(B26="GND","",IFERROR(INDEX(STDIO_J1B1_2x50!A:B,MATCH(B26,STDIO_J1B1_2x50!$B:$B,0),1),""))</f>
        <v>25</v>
      </c>
      <c r="D26" s="81" t="str">
        <f>IF(B26="GND","GND",IFERROR(INDEX(STDIO_J1B1_2x50!A:B,MATCH(B26,STDIO_J1B1_2x50!$B:$B,0),2),""))</f>
        <v>DIO_HDR_OC_43</v>
      </c>
      <c r="E26" s="84" t="str">
        <f>IF(B26="GND","",IFERROR(INDEX(STDIO_J1B2_2x60!A:B,MATCH(B26,STDIO_J1B2_2x60!$B:$B,0),1),""))</f>
        <v/>
      </c>
      <c r="F26" s="81" t="str">
        <f>IF(B26="GND","GND",IFERROR(INDEX(STDIO_J1B2_2x60!A:B,MATCH(B26,STDIO_J1B2_2x60!$B:$B,0),2),""))</f>
        <v/>
      </c>
      <c r="G26" s="81" t="str">
        <f>IF(ISODD(A26),INDEX(PPV_Header!$E$2:$F$31,MATCH(A26,PPV_Header!$F$2:$F$31,0),1),INDEX(PPV_Header!$G$2:$H$31,MATCH(A26,PPV_Header!$G$2:$G$31,0),2))</f>
        <v>EV_GPU01_THERMTRIP_R_N</v>
      </c>
      <c r="H26" s="81"/>
      <c r="I26" s="81"/>
    </row>
    <row r="27" spans="1:9" ht="14.4">
      <c r="A27" s="84">
        <v>26</v>
      </c>
      <c r="B27" s="81" t="s">
        <v>159</v>
      </c>
      <c r="C27" s="84" t="str">
        <f>IF(B27="GND","",IFERROR(INDEX(STDIO_J1B1_2x50!A:B,MATCH(B27,STDIO_J1B1_2x50!$B:$B,0),1),""))</f>
        <v/>
      </c>
      <c r="D27" s="81" t="str">
        <f>IF(B27="GND","GND",IFERROR(INDEX(STDIO_J1B1_2x50!A:B,MATCH(B27,STDIO_J1B1_2x50!$B:$B,0),2),""))</f>
        <v/>
      </c>
      <c r="E27" s="84">
        <f>IF(B27="GND","",IFERROR(INDEX(STDIO_J1B2_2x60!A:B,MATCH(B27,STDIO_J1B2_2x60!$B:$B,0),1),""))</f>
        <v>8</v>
      </c>
      <c r="F27" s="81" t="str">
        <f>IF(B27="GND","GND",IFERROR(INDEX(STDIO_J1B2_2x60!A:B,MATCH(B27,STDIO_J1B2_2x60!$B:$B,0),2),""))</f>
        <v>AD2_IN1_DP</v>
      </c>
      <c r="G27" s="81" t="str">
        <f>IF(ISODD(A27),INDEX(PPV_Header!$E$2:$F$31,MATCH(A27,PPV_Header!$F$2:$F$31,0),1),INDEX(PPV_Header!$G$2:$H$31,MATCH(A27,PPV_Header!$G$2:$G$31,0),2))</f>
        <v>EV_P0V85_VCCANR_DIG_CD0</v>
      </c>
      <c r="H27" s="81"/>
      <c r="I27" s="81"/>
    </row>
    <row r="28" spans="1:9" ht="14.4">
      <c r="A28" s="120">
        <v>27</v>
      </c>
      <c r="B28" s="100" t="s">
        <v>225</v>
      </c>
      <c r="C28" s="120" t="str">
        <f>IF(B28="GND","",IFERROR(INDEX(STDIO_J1B1_2x50!A:B,MATCH(B28,STDIO_J1B1_2x50!$B:$B,0),1),""))</f>
        <v/>
      </c>
      <c r="D28" s="100" t="str">
        <f>IF(B28="GND","GND",IFERROR(INDEX(STDIO_J1B1_2x50!A:B,MATCH(B28,STDIO_J1B1_2x50!$B:$B,0),2),""))</f>
        <v>GND</v>
      </c>
      <c r="E28" s="120" t="str">
        <f>IF(B28="GND","",IFERROR(INDEX(STDIO_J1B2_2x60!A:B,MATCH(B28,STDIO_J1B2_2x60!$B:$B,0),1),""))</f>
        <v/>
      </c>
      <c r="F28" s="100" t="str">
        <f>IF(B28="GND","GND",IFERROR(INDEX(STDIO_J1B2_2x60!A:B,MATCH(B28,STDIO_J1B2_2x60!$B:$B,0),2),""))</f>
        <v>GND</v>
      </c>
      <c r="G28" s="100" t="str">
        <f>IF(ISODD(A28),INDEX(PPV_Header!$E$2:$F$31,MATCH(A28,PPV_Header!$F$2:$F$31,0),1),INDEX(PPV_Header!$G$2:$H$31,MATCH(A28,PPV_Header!$G$2:$G$31,0),2))</f>
        <v>GND</v>
      </c>
      <c r="H28" s="81"/>
      <c r="I28" s="81"/>
    </row>
    <row r="29" spans="1:9" ht="14.4">
      <c r="A29" s="84">
        <v>28</v>
      </c>
      <c r="B29" s="81" t="s">
        <v>160</v>
      </c>
      <c r="C29" s="84" t="str">
        <f>IF(B29="GND","",IFERROR(INDEX(STDIO_J1B1_2x50!A:B,MATCH(B29,STDIO_J1B1_2x50!$B:$B,0),1),""))</f>
        <v/>
      </c>
      <c r="D29" s="81" t="str">
        <f>IF(B29="GND","GND",IFERROR(INDEX(STDIO_J1B1_2x50!A:B,MATCH(B29,STDIO_J1B1_2x50!$B:$B,0),2),""))</f>
        <v/>
      </c>
      <c r="E29" s="84">
        <f>IF(B29="GND","",IFERROR(INDEX(STDIO_J1B2_2x60!A:B,MATCH(B29,STDIO_J1B2_2x60!$B:$B,0),1),""))</f>
        <v>10</v>
      </c>
      <c r="F29" s="81" t="str">
        <f>IF(B29="GND","GND",IFERROR(INDEX(STDIO_J1B2_2x60!A:B,MATCH(B29,STDIO_J1B2_2x60!$B:$B,0),2),""))</f>
        <v>AD2_IN1_DN</v>
      </c>
      <c r="G29" s="81" t="str">
        <f>IF(ISODD(A29),INDEX(PPV_Header!$E$2:$F$31,MATCH(A29,PPV_Header!$F$2:$F$31,0),1),INDEX(PPV_Header!$G$2:$H$31,MATCH(A29,PPV_Header!$G$2:$G$31,0),2))</f>
        <v>EV_P0V85_VCCANR_DIG_CD1</v>
      </c>
      <c r="H29" s="81"/>
      <c r="I29" s="81"/>
    </row>
    <row r="30" spans="1:9" ht="14.4">
      <c r="A30" s="84">
        <v>29</v>
      </c>
      <c r="B30" s="81" t="s">
        <v>315</v>
      </c>
      <c r="C30" s="84" t="str">
        <f>IF(B30="GND","",IFERROR(INDEX(STDIO_J1B1_2x50!A:B,MATCH(B30,STDIO_J1B1_2x50!$B:$B,0),1),""))</f>
        <v/>
      </c>
      <c r="D30" s="81" t="str">
        <f>IF(B30="GND","GND",IFERROR(INDEX(STDIO_J1B1_2x50!A:B,MATCH(B30,STDIO_J1B1_2x50!$B:$B,0),2),""))</f>
        <v/>
      </c>
      <c r="E30" s="84" t="str">
        <f>IF(B30="GND","",IFERROR(INDEX(STDIO_J1B2_2x60!A:B,MATCH(B30,STDIO_J1B2_2x60!$B:$B,0),1),""))</f>
        <v/>
      </c>
      <c r="F30" s="81" t="str">
        <f>IF(B30="GND","GND",IFERROR(INDEX(STDIO_J1B2_2x60!A:B,MATCH(B30,STDIO_J1B2_2x60!$B:$B,0),2),""))</f>
        <v/>
      </c>
      <c r="G30" s="81" t="str">
        <f>IF(ISODD(A30),INDEX(PPV_Header!$E$2:$F$31,MATCH(A30,PPV_Header!$F$2:$F$31,0),1),INDEX(PPV_Header!$G$2:$H$31,MATCH(A30,PPV_Header!$G$2:$G$31,0),2))</f>
        <v>P3V3_EV_PPV_BLT</v>
      </c>
      <c r="H30" s="81"/>
      <c r="I30" s="81"/>
    </row>
    <row r="31" spans="1:9" ht="14.4">
      <c r="A31" s="120">
        <v>30</v>
      </c>
      <c r="B31" s="100" t="s">
        <v>225</v>
      </c>
      <c r="C31" s="120" t="str">
        <f>IF(B31="GND","",IFERROR(INDEX(STDIO_J1B1_2x50!A:B,MATCH(B31,STDIO_J1B1_2x50!$B:$B,0),1),""))</f>
        <v/>
      </c>
      <c r="D31" s="100" t="str">
        <f>IF(B31="GND","GND",IFERROR(INDEX(STDIO_J1B1_2x50!A:B,MATCH(B31,STDIO_J1B1_2x50!$B:$B,0),2),""))</f>
        <v>GND</v>
      </c>
      <c r="E31" s="120" t="str">
        <f>IF(B31="GND","",IFERROR(INDEX(STDIO_J1B2_2x60!A:B,MATCH(B31,STDIO_J1B2_2x60!$B:$B,0),1),""))</f>
        <v/>
      </c>
      <c r="F31" s="100" t="str">
        <f>IF(B31="GND","GND",IFERROR(INDEX(STDIO_J1B2_2x60!A:B,MATCH(B31,STDIO_J1B2_2x60!$B:$B,0),2),""))</f>
        <v>GND</v>
      </c>
      <c r="G31" s="100" t="str">
        <f>IF(ISODD(A31),INDEX(PPV_Header!$E$2:$F$31,MATCH(A31,PPV_Header!$F$2:$F$31,0),1),INDEX(PPV_Header!$G$2:$H$31,MATCH(A31,PPV_Header!$G$2:$G$31,0),2))</f>
        <v>GND</v>
      </c>
      <c r="H31" s="81"/>
      <c r="I31" s="81"/>
    </row>
    <row r="32" spans="1:9" ht="14.4">
      <c r="A32" s="84">
        <v>31</v>
      </c>
      <c r="B32" s="81" t="s">
        <v>316</v>
      </c>
      <c r="C32" s="84" t="str">
        <f>IF(B32="GND","",IFERROR(INDEX(STDIO_J1B1_2x50!A:B,MATCH(B32,STDIO_J1B1_2x50!$B:$B,0),1),""))</f>
        <v/>
      </c>
      <c r="D32" s="81" t="str">
        <f>IF(B32="GND","GND",IFERROR(INDEX(STDIO_J1B1_2x50!A:B,MATCH(B32,STDIO_J1B1_2x50!$B:$B,0),2),""))</f>
        <v/>
      </c>
      <c r="E32" s="84">
        <f>IF(B32="GND","",IFERROR(INDEX(STDIO_J1B2_2x60!A:B,MATCH(B32,STDIO_J1B2_2x60!$B:$B,0),1),""))</f>
        <v>26</v>
      </c>
      <c r="F32" s="81" t="str">
        <f>IF(B32="GND","GND",IFERROR(INDEX(STDIO_J1B2_2x60!A:B,MATCH(B32,STDIO_J1B2_2x60!$B:$B,0),2),""))</f>
        <v>DUT_SMB0_DAT</v>
      </c>
      <c r="G32" s="81" t="str">
        <f>IF(ISODD(A32),INDEX(PPV_Header!$E$2:$F$31,MATCH(A32,PPV_Header!$F$2:$F$31,0),1),INDEX(PPV_Header!$G$2:$H$31,MATCH(A32,PPV_Header!$G$2:$G$31,0),2))</f>
        <v>EV_SMBUS_PPV_BLT_SDA</v>
      </c>
      <c r="H32" s="81"/>
      <c r="I32" s="81"/>
    </row>
    <row r="33" spans="1:9" ht="14.4">
      <c r="A33" s="84">
        <v>32</v>
      </c>
      <c r="B33" s="81" t="s">
        <v>161</v>
      </c>
      <c r="C33" s="84" t="str">
        <f>IF(B33="GND","",IFERROR(INDEX(STDIO_J1B1_2x50!A:B,MATCH(B33,STDIO_J1B1_2x50!$B:$B,0),1),""))</f>
        <v/>
      </c>
      <c r="D33" s="81" t="str">
        <f>IF(B33="GND","GND",IFERROR(INDEX(STDIO_J1B1_2x50!A:B,MATCH(B33,STDIO_J1B1_2x50!$B:$B,0),2),""))</f>
        <v/>
      </c>
      <c r="E33" s="84">
        <f>IF(B33="GND","",IFERROR(INDEX(STDIO_J1B2_2x60!A:B,MATCH(B33,STDIO_J1B2_2x60!$B:$B,0),1),""))</f>
        <v>14</v>
      </c>
      <c r="F33" s="81" t="str">
        <f>IF(B33="GND","GND",IFERROR(INDEX(STDIO_J1B2_2x60!A:B,MATCH(B33,STDIO_J1B2_2x60!$B:$B,0),2),""))</f>
        <v>AD2_IN2_DP</v>
      </c>
      <c r="G33" s="81" t="str">
        <f>IF(ISODD(A33),INDEX(PPV_Header!$E$2:$F$31,MATCH(A33,PPV_Header!$F$2:$F$31,0),1),INDEX(PPV_Header!$G$2:$H$31,MATCH(A33,PPV_Header!$G$2:$G$31,0),2))</f>
        <v>EV_PVCCINFAON</v>
      </c>
      <c r="H33" s="81"/>
      <c r="I33" s="81"/>
    </row>
    <row r="34" spans="1:9" ht="14.4">
      <c r="A34" s="84">
        <v>33</v>
      </c>
      <c r="B34" s="81" t="s">
        <v>317</v>
      </c>
      <c r="C34" s="84" t="str">
        <f>IF(B34="GND","",IFERROR(INDEX(STDIO_J1B1_2x50!A:B,MATCH(B34,STDIO_J1B1_2x50!$B:$B,0),1),""))</f>
        <v/>
      </c>
      <c r="D34" s="81" t="str">
        <f>IF(B34="GND","GND",IFERROR(INDEX(STDIO_J1B1_2x50!A:B,MATCH(B34,STDIO_J1B1_2x50!$B:$B,0),2),""))</f>
        <v/>
      </c>
      <c r="E34" s="84">
        <f>IF(B34="GND","",IFERROR(INDEX(STDIO_J1B2_2x60!A:B,MATCH(B34,STDIO_J1B2_2x60!$B:$B,0),1),""))</f>
        <v>28</v>
      </c>
      <c r="F34" s="81" t="str">
        <f>IF(B34="GND","GND",IFERROR(INDEX(STDIO_J1B2_2x60!A:B,MATCH(B34,STDIO_J1B2_2x60!$B:$B,0),2),""))</f>
        <v>DUT_SMB0_CLK</v>
      </c>
      <c r="G34" s="81" t="str">
        <f>IF(ISODD(A34),INDEX(PPV_Header!$E$2:$F$31,MATCH(A34,PPV_Header!$F$2:$F$31,0),1),INDEX(PPV_Header!$G$2:$H$31,MATCH(A34,PPV_Header!$G$2:$G$31,0),2))</f>
        <v>EV_SMBUS_PPV_BLT_SCL</v>
      </c>
      <c r="H34" s="81"/>
      <c r="I34" s="81"/>
    </row>
    <row r="35" spans="1:9" ht="14.4">
      <c r="A35" s="84">
        <v>34</v>
      </c>
      <c r="B35" s="81" t="s">
        <v>162</v>
      </c>
      <c r="C35" s="84" t="str">
        <f>IF(B35="GND","",IFERROR(INDEX(STDIO_J1B1_2x50!A:B,MATCH(B35,STDIO_J1B1_2x50!$B:$B,0),1),""))</f>
        <v/>
      </c>
      <c r="D35" s="81" t="str">
        <f>IF(B35="GND","GND",IFERROR(INDEX(STDIO_J1B1_2x50!A:B,MATCH(B35,STDIO_J1B1_2x50!$B:$B,0),2),""))</f>
        <v/>
      </c>
      <c r="E35" s="84">
        <f>IF(B35="GND","",IFERROR(INDEX(STDIO_J1B2_2x60!A:B,MATCH(B35,STDIO_J1B2_2x60!$B:$B,0),1),""))</f>
        <v>16</v>
      </c>
      <c r="F35" s="81" t="str">
        <f>IF(B35="GND","GND",IFERROR(INDEX(STDIO_J1B2_2x60!A:B,MATCH(B35,STDIO_J1B2_2x60!$B:$B,0),2),""))</f>
        <v>AD2_IN2_DN</v>
      </c>
      <c r="G35" s="81" t="str">
        <f>IF(ISODD(A35),INDEX(PPV_Header!$E$2:$F$31,MATCH(A35,PPV_Header!$F$2:$F$31,0),1),INDEX(PPV_Header!$G$2:$H$31,MATCH(A35,PPV_Header!$G$2:$G$31,0),2))</f>
        <v>EV_PVCCFUSE</v>
      </c>
      <c r="H35" s="81"/>
      <c r="I35" s="81"/>
    </row>
    <row r="36" spans="1:9" ht="14.4">
      <c r="A36" s="84">
        <v>35</v>
      </c>
      <c r="B36" s="81" t="s">
        <v>318</v>
      </c>
      <c r="C36" s="84">
        <f>IF(B36="GND","",IFERROR(INDEX(STDIO_J1B1_2x50!A:B,MATCH(B36,STDIO_J1B1_2x50!$B:$B,0),1),""))</f>
        <v>38</v>
      </c>
      <c r="D36" s="81" t="str">
        <f>IF(B36="GND","GND",IFERROR(INDEX(STDIO_J1B1_2x50!A:B,MATCH(B36,STDIO_J1B1_2x50!$B:$B,0),2),""))</f>
        <v>DUT_SMB2_DAT</v>
      </c>
      <c r="E36" s="84" t="str">
        <f>IF(B36="GND","",IFERROR(INDEX(STDIO_J1B2_2x60!A:B,MATCH(B36,STDIO_J1B2_2x60!$B:$B,0),1),""))</f>
        <v/>
      </c>
      <c r="F36" s="81" t="str">
        <f>IF(B36="GND","GND",IFERROR(INDEX(STDIO_J1B2_2x60!A:B,MATCH(B36,STDIO_J1B2_2x60!$B:$B,0),2),""))</f>
        <v/>
      </c>
      <c r="G36" s="81" t="str">
        <f>IF(ISODD(A36),INDEX(PPV_Header!$E$2:$F$31,MATCH(A36,PPV_Header!$F$2:$F$31,0),1),INDEX(PPV_Header!$G$2:$H$31,MATCH(A36,PPV_Header!$G$2:$G$31,0),2))</f>
        <v>EV_SMB_SYSTEM_SDA</v>
      </c>
      <c r="H36" s="81"/>
      <c r="I36" s="81"/>
    </row>
    <row r="37" spans="1:9" ht="14.4">
      <c r="A37" s="84">
        <v>36</v>
      </c>
      <c r="B37" s="81" t="s">
        <v>163</v>
      </c>
      <c r="C37" s="84" t="str">
        <f>IF(B37="GND","",IFERROR(INDEX(STDIO_J1B1_2x50!A:B,MATCH(B37,STDIO_J1B1_2x50!$B:$B,0),1),""))</f>
        <v/>
      </c>
      <c r="D37" s="81" t="str">
        <f>IF(B37="GND","GND",IFERROR(INDEX(STDIO_J1B1_2x50!A:B,MATCH(B37,STDIO_J1B1_2x50!$B:$B,0),2),""))</f>
        <v/>
      </c>
      <c r="E37" s="84">
        <f>IF(B37="GND","",IFERROR(INDEX(STDIO_J1B2_2x60!A:B,MATCH(B37,STDIO_J1B2_2x60!$B:$B,0),1),""))</f>
        <v>20</v>
      </c>
      <c r="F37" s="81" t="str">
        <f>IF(B37="GND","GND",IFERROR(INDEX(STDIO_J1B2_2x60!A:B,MATCH(B37,STDIO_J1B2_2x60!$B:$B,0),2),""))</f>
        <v>AD2_IN3_DP</v>
      </c>
      <c r="G37" s="81" t="str">
        <f>IF(ISODD(A37),INDEX(PPV_Header!$E$2:$F$31,MATCH(A37,PPV_Header!$F$2:$F$31,0),1),INDEX(PPV_Header!$G$2:$H$31,MATCH(A37,PPV_Header!$G$2:$G$31,0),2))</f>
        <v>EV_VSENSE_PVCCIN_CPU0_SKT_VSEN</v>
      </c>
      <c r="H37" s="81"/>
      <c r="I37" s="81"/>
    </row>
    <row r="38" spans="1:9" ht="14.4">
      <c r="A38" s="84">
        <v>37</v>
      </c>
      <c r="B38" s="81" t="s">
        <v>319</v>
      </c>
      <c r="C38" s="84">
        <f>IF(B38="GND","",IFERROR(INDEX(STDIO_J1B1_2x50!A:B,MATCH(B38,STDIO_J1B1_2x50!$B:$B,0),1),""))</f>
        <v>40</v>
      </c>
      <c r="D38" s="81" t="str">
        <f>IF(B38="GND","GND",IFERROR(INDEX(STDIO_J1B1_2x50!A:B,MATCH(B38,STDIO_J1B1_2x50!$B:$B,0),2),""))</f>
        <v>DUT_SMB2_CLK</v>
      </c>
      <c r="E38" s="84" t="str">
        <f>IF(B38="GND","",IFERROR(INDEX(STDIO_J1B2_2x60!A:B,MATCH(B38,STDIO_J1B2_2x60!$B:$B,0),1),""))</f>
        <v/>
      </c>
      <c r="F38" s="81" t="str">
        <f>IF(B38="GND","GND",IFERROR(INDEX(STDIO_J1B2_2x60!A:B,MATCH(B38,STDIO_J1B2_2x60!$B:$B,0),2),""))</f>
        <v/>
      </c>
      <c r="G38" s="81" t="str">
        <f>IF(ISODD(A38),INDEX(PPV_Header!$E$2:$F$31,MATCH(A38,PPV_Header!$F$2:$F$31,0),1),INDEX(PPV_Header!$G$2:$H$31,MATCH(A38,PPV_Header!$G$2:$G$31,0),2))</f>
        <v>EV_SMB_SYSTEM_SCL</v>
      </c>
      <c r="H38" s="81"/>
      <c r="I38" s="81"/>
    </row>
    <row r="39" spans="1:9" ht="14.4">
      <c r="A39" s="84">
        <v>38</v>
      </c>
      <c r="B39" s="81" t="s">
        <v>164</v>
      </c>
      <c r="C39" s="84" t="str">
        <f>IF(B39="GND","",IFERROR(INDEX(STDIO_J1B1_2x50!A:B,MATCH(B39,STDIO_J1B1_2x50!$B:$B,0),1),""))</f>
        <v/>
      </c>
      <c r="D39" s="81" t="str">
        <f>IF(B39="GND","GND",IFERROR(INDEX(STDIO_J1B1_2x50!A:B,MATCH(B39,STDIO_J1B1_2x50!$B:$B,0),2),""))</f>
        <v/>
      </c>
      <c r="E39" s="84">
        <f>IF(B39="GND","",IFERROR(INDEX(STDIO_J1B2_2x60!A:B,MATCH(B39,STDIO_J1B2_2x60!$B:$B,0),1),""))</f>
        <v>22</v>
      </c>
      <c r="F39" s="81" t="str">
        <f>IF(B39="GND","GND",IFERROR(INDEX(STDIO_J1B2_2x60!A:B,MATCH(B39,STDIO_J1B2_2x60!$B:$B,0),2),""))</f>
        <v>AD2_IN3_DN</v>
      </c>
      <c r="G39" s="81" t="str">
        <f>IF(ISODD(A39),INDEX(PPV_Header!$E$2:$F$31,MATCH(A39,PPV_Header!$F$2:$F$31,0),1),INDEX(PPV_Header!$G$2:$H$31,MATCH(A39,PPV_Header!$G$2:$G$31,0),2))</f>
        <v>EV_PPV_PVCCIN_CPU0</v>
      </c>
      <c r="H39" s="81"/>
      <c r="I39" s="81"/>
    </row>
    <row r="40" spans="1:9" ht="14.4">
      <c r="A40" s="84">
        <v>39</v>
      </c>
      <c r="B40" s="81" t="s">
        <v>320</v>
      </c>
      <c r="C40" s="84">
        <f>IF(B40="GND","",IFERROR(INDEX(STDIO_J1B1_2x50!A:B,MATCH(B40,STDIO_J1B1_2x50!$B:$B,0),1),""))</f>
        <v>44</v>
      </c>
      <c r="D40" s="81" t="str">
        <f>IF(B40="GND","GND",IFERROR(INDEX(STDIO_J1B1_2x50!A:B,MATCH(B40,STDIO_J1B1_2x50!$B:$B,0),2),""))</f>
        <v>DUT_SMB3_DAT</v>
      </c>
      <c r="E40" s="84" t="str">
        <f>IF(B40="GND","",IFERROR(INDEX(STDIO_J1B2_2x60!A:B,MATCH(B40,STDIO_J1B2_2x60!$B:$B,0),1),""))</f>
        <v/>
      </c>
      <c r="F40" s="81" t="str">
        <f>IF(B40="GND","GND",IFERROR(INDEX(STDIO_J1B2_2x60!A:B,MATCH(B40,STDIO_J1B2_2x60!$B:$B,0),2),""))</f>
        <v/>
      </c>
      <c r="G40" s="81" t="str">
        <f>IF(ISODD(A40),INDEX(PPV_Header!$E$2:$F$31,MATCH(A40,PPV_Header!$F$2:$F$31,0),1),INDEX(PPV_Header!$G$2:$H$31,MATCH(A40,PPV_Header!$G$2:$G$31,0),2))</f>
        <v>NC_PPV_IO39</v>
      </c>
      <c r="H40" s="81"/>
      <c r="I40" s="81"/>
    </row>
    <row r="41" spans="1:9" ht="14.4">
      <c r="A41" s="120">
        <v>40</v>
      </c>
      <c r="B41" s="100" t="s">
        <v>225</v>
      </c>
      <c r="C41" s="120" t="str">
        <f>IF(B41="GND","",IFERROR(INDEX(STDIO_J1B1_2x50!A:B,MATCH(B41,STDIO_J1B1_2x50!$B:$B,0),1),""))</f>
        <v/>
      </c>
      <c r="D41" s="100" t="str">
        <f>IF(B41="GND","GND",IFERROR(INDEX(STDIO_J1B1_2x50!A:B,MATCH(B41,STDIO_J1B1_2x50!$B:$B,0),2),""))</f>
        <v>GND</v>
      </c>
      <c r="E41" s="120" t="str">
        <f>IF(B41="GND","",IFERROR(INDEX(STDIO_J1B2_2x60!A:B,MATCH(B41,STDIO_J1B2_2x60!$B:$B,0),1),""))</f>
        <v/>
      </c>
      <c r="F41" s="100" t="str">
        <f>IF(B41="GND","GND",IFERROR(INDEX(STDIO_J1B2_2x60!A:B,MATCH(B41,STDIO_J1B2_2x60!$B:$B,0),2),""))</f>
        <v>GND</v>
      </c>
      <c r="G41" s="100" t="str">
        <f>IF(ISODD(A41),INDEX(PPV_Header!$E$2:$F$31,MATCH(A41,PPV_Header!$F$2:$F$31,0),1),INDEX(PPV_Header!$G$2:$H$31,MATCH(A41,PPV_Header!$G$2:$G$31,0),2))</f>
        <v>GND</v>
      </c>
      <c r="H41" s="81"/>
      <c r="I41" s="81"/>
    </row>
    <row r="42" spans="1:9" ht="14.4">
      <c r="A42" s="84">
        <v>41</v>
      </c>
      <c r="B42" s="81" t="s">
        <v>321</v>
      </c>
      <c r="C42" s="84">
        <f>IF(B42="GND","",IFERROR(INDEX(STDIO_J1B1_2x50!A:B,MATCH(B42,STDIO_J1B1_2x50!$B:$B,0),1),""))</f>
        <v>46</v>
      </c>
      <c r="D42" s="81" t="str">
        <f>IF(B42="GND","GND",IFERROR(INDEX(STDIO_J1B1_2x50!A:B,MATCH(B42,STDIO_J1B1_2x50!$B:$B,0),2),""))</f>
        <v>DUT_SMB3_CLK</v>
      </c>
      <c r="E42" s="84" t="str">
        <f>IF(B42="GND","",IFERROR(INDEX(STDIO_J1B2_2x60!A:B,MATCH(B42,STDIO_J1B2_2x60!$B:$B,0),1),""))</f>
        <v/>
      </c>
      <c r="F42" s="81" t="str">
        <f>IF(B42="GND","GND",IFERROR(INDEX(STDIO_J1B2_2x60!A:B,MATCH(B42,STDIO_J1B2_2x60!$B:$B,0),2),""))</f>
        <v/>
      </c>
      <c r="G42" s="81" t="str">
        <f>IF(ISODD(A42),INDEX(PPV_Header!$E$2:$F$31,MATCH(A42,PPV_Header!$F$2:$F$31,0),1),INDEX(PPV_Header!$G$2:$H$31,MATCH(A42,PPV_Header!$G$2:$G$31,0),2))</f>
        <v>NC_PPV_IO41</v>
      </c>
      <c r="H42" s="81"/>
      <c r="I42" s="81"/>
    </row>
    <row r="43" spans="1:9" ht="14.4">
      <c r="A43" s="84">
        <v>42</v>
      </c>
      <c r="B43" s="81" t="s">
        <v>165</v>
      </c>
      <c r="C43" s="84">
        <f>IF(B43="GND","",IFERROR(INDEX(STDIO_J1B1_2x50!A:B,MATCH(B43,STDIO_J1B1_2x50!$B:$B,0),1),""))</f>
        <v>2</v>
      </c>
      <c r="D43" s="81" t="str">
        <f>IF(B43="GND","GND",IFERROR(INDEX(STDIO_J1B1_2x50!A:B,MATCH(B43,STDIO_J1B1_2x50!$B:$B,0),2),""))</f>
        <v>AD3_IN0_DP</v>
      </c>
      <c r="E43" s="84" t="str">
        <f>IF(B43="GND","",IFERROR(INDEX(STDIO_J1B2_2x60!A:B,MATCH(B43,STDIO_J1B2_2x60!$B:$B,0),1),""))</f>
        <v/>
      </c>
      <c r="F43" s="81" t="str">
        <f>IF(B43="GND","GND",IFERROR(INDEX(STDIO_J1B2_2x60!A:B,MATCH(B43,STDIO_J1B2_2x60!$B:$B,0),2),""))</f>
        <v/>
      </c>
      <c r="G43" s="81" t="str">
        <f>IF(ISODD(A43),INDEX(PPV_Header!$E$2:$F$31,MATCH(A43,PPV_Header!$F$2:$F$31,0),1),INDEX(PPV_Header!$G$2:$H$31,MATCH(A43,PPV_Header!$G$2:$G$31,0),2))</f>
        <v>EV_P0V85_VCCANR_MDFI_CD0</v>
      </c>
      <c r="H43" s="81"/>
      <c r="I43" s="81"/>
    </row>
    <row r="44" spans="1:9" ht="14.4">
      <c r="A44" s="120">
        <v>43</v>
      </c>
      <c r="B44" s="100" t="s">
        <v>225</v>
      </c>
      <c r="C44" s="120" t="str">
        <f>IF(B44="GND","",IFERROR(INDEX(STDIO_J1B1_2x50!A:B,MATCH(B44,STDIO_J1B1_2x50!$B:$B,0),1),""))</f>
        <v/>
      </c>
      <c r="D44" s="100" t="str">
        <f>IF(B44="GND","GND",IFERROR(INDEX(STDIO_J1B1_2x50!A:B,MATCH(B44,STDIO_J1B1_2x50!$B:$B,0),2),""))</f>
        <v>GND</v>
      </c>
      <c r="E44" s="120" t="str">
        <f>IF(B44="GND","",IFERROR(INDEX(STDIO_J1B2_2x60!A:B,MATCH(B44,STDIO_J1B2_2x60!$B:$B,0),1),""))</f>
        <v/>
      </c>
      <c r="F44" s="100" t="str">
        <f>IF(B44="GND","GND",IFERROR(INDEX(STDIO_J1B2_2x60!A:B,MATCH(B44,STDIO_J1B2_2x60!$B:$B,0),2),""))</f>
        <v>GND</v>
      </c>
      <c r="G44" s="100" t="str">
        <f>IF(ISODD(A44),INDEX(PPV_Header!$E$2:$F$31,MATCH(A44,PPV_Header!$F$2:$F$31,0),1),INDEX(PPV_Header!$G$2:$H$31,MATCH(A44,PPV_Header!$G$2:$G$31,0),2))</f>
        <v>GND</v>
      </c>
      <c r="H44" s="81"/>
      <c r="I44" s="81"/>
    </row>
    <row r="45" spans="1:9" ht="14.4">
      <c r="A45" s="84">
        <v>44</v>
      </c>
      <c r="B45" s="81" t="s">
        <v>166</v>
      </c>
      <c r="C45" s="84">
        <f>IF(B45="GND","",IFERROR(INDEX(STDIO_J1B1_2x50!A:B,MATCH(B45,STDIO_J1B1_2x50!$B:$B,0),1),""))</f>
        <v>4</v>
      </c>
      <c r="D45" s="81" t="str">
        <f>IF(B45="GND","GND",IFERROR(INDEX(STDIO_J1B1_2x50!A:B,MATCH(B45,STDIO_J1B1_2x50!$B:$B,0),2),""))</f>
        <v>AD3_IN0_DN</v>
      </c>
      <c r="E45" s="84" t="str">
        <f>IF(B45="GND","",IFERROR(INDEX(STDIO_J1B2_2x60!A:B,MATCH(B45,STDIO_J1B2_2x60!$B:$B,0),1),""))</f>
        <v/>
      </c>
      <c r="F45" s="81" t="str">
        <f>IF(B45="GND","GND",IFERROR(INDEX(STDIO_J1B2_2x60!A:B,MATCH(B45,STDIO_J1B2_2x60!$B:$B,0),2),""))</f>
        <v/>
      </c>
      <c r="G45" s="81" t="str">
        <f>IF(ISODD(A45),INDEX(PPV_Header!$E$2:$F$31,MATCH(A45,PPV_Header!$F$2:$F$31,0),1),INDEX(PPV_Header!$G$2:$H$31,MATCH(A45,PPV_Header!$G$2:$G$31,0),2))</f>
        <v>EV_P0V85_VCCANR_MDFI_CD1</v>
      </c>
      <c r="H45" s="81"/>
      <c r="I45" s="81"/>
    </row>
    <row r="46" spans="1:9" ht="14.4">
      <c r="A46" s="84">
        <v>45</v>
      </c>
      <c r="B46" s="81" t="s">
        <v>322</v>
      </c>
      <c r="C46" s="84">
        <f>IF(B46="GND","",IFERROR(INDEX(STDIO_J1B1_2x50!A:B,MATCH(B46,STDIO_J1B1_2x50!$B:$B,0),1),""))</f>
        <v>47</v>
      </c>
      <c r="D46" s="81" t="str">
        <f>IF(B46="GND","GND",IFERROR(INDEX(STDIO_J1B1_2x50!A:B,MATCH(B46,STDIO_J1B1_2x50!$B:$B,0),2),""))</f>
        <v>DUT_SPI1_CLK</v>
      </c>
      <c r="E46" s="84" t="str">
        <f>IF(B46="GND","",IFERROR(INDEX(STDIO_J1B2_2x60!A:B,MATCH(B46,STDIO_J1B2_2x60!$B:$B,0),1),""))</f>
        <v/>
      </c>
      <c r="F46" s="81" t="str">
        <f>IF(B46="GND","GND",IFERROR(INDEX(STDIO_J1B2_2x60!A:B,MATCH(B46,STDIO_J1B2_2x60!$B:$B,0),2),""))</f>
        <v/>
      </c>
      <c r="G46" s="81" t="str">
        <f>IF(ISODD(A46),INDEX(PPV_Header!$E$2:$F$31,MATCH(A46,PPV_Header!$F$2:$F$31,0),1),INDEX(PPV_Header!$G$2:$H$31,MATCH(A46,PPV_Header!$G$2:$G$31,0),2))</f>
        <v>NC_PPV_IO45</v>
      </c>
      <c r="H46" s="81"/>
      <c r="I46" s="81"/>
    </row>
    <row r="47" spans="1:9" ht="14.4">
      <c r="A47" s="84">
        <v>46</v>
      </c>
      <c r="B47" s="81" t="s">
        <v>167</v>
      </c>
      <c r="C47" s="84">
        <f>IF(B47="GND","",IFERROR(INDEX(STDIO_J1B1_2x50!A:B,MATCH(B47,STDIO_J1B1_2x50!$B:$B,0),1),""))</f>
        <v>8</v>
      </c>
      <c r="D47" s="81" t="str">
        <f>IF(B47="GND","GND",IFERROR(INDEX(STDIO_J1B1_2x50!A:B,MATCH(B47,STDIO_J1B1_2x50!$B:$B,0),2),""))</f>
        <v>AD3_IN1_DP</v>
      </c>
      <c r="E47" s="84" t="str">
        <f>IF(B47="GND","",IFERROR(INDEX(STDIO_J1B2_2x60!A:B,MATCH(B47,STDIO_J1B2_2x60!$B:$B,0),1),""))</f>
        <v/>
      </c>
      <c r="F47" s="81" t="str">
        <f>IF(B47="GND","GND",IFERROR(INDEX(STDIO_J1B2_2x60!A:B,MATCH(B47,STDIO_J1B2_2x60!$B:$B,0),2),""))</f>
        <v/>
      </c>
      <c r="G47" s="81" t="str">
        <f>IF(ISODD(A47),INDEX(PPV_Header!$E$2:$F$31,MATCH(A47,PPV_Header!$F$2:$F$31,0),1),INDEX(PPV_Header!$G$2:$H$31,MATCH(A47,PPV_Header!$G$2:$G$31,0),2))</f>
        <v>EV_PVCCIN0</v>
      </c>
      <c r="H47" s="81"/>
      <c r="I47" s="81"/>
    </row>
    <row r="48" spans="1:9" ht="14.4">
      <c r="A48" s="84">
        <v>47</v>
      </c>
      <c r="B48" s="81" t="s">
        <v>323</v>
      </c>
      <c r="C48" s="84">
        <f>IF(B48="GND","",IFERROR(INDEX(STDIO_J1B1_2x50!A:B,MATCH(B48,STDIO_J1B1_2x50!$B:$B,0),1),""))</f>
        <v>49</v>
      </c>
      <c r="D48" s="81" t="str">
        <f>IF(B48="GND","GND",IFERROR(INDEX(STDIO_J1B1_2x50!A:B,MATCH(B48,STDIO_J1B1_2x50!$B:$B,0),2),""))</f>
        <v>DUT_SPI1_CS#</v>
      </c>
      <c r="E48" s="84" t="str">
        <f>IF(B48="GND","",IFERROR(INDEX(STDIO_J1B2_2x60!A:B,MATCH(B48,STDIO_J1B2_2x60!$B:$B,0),1),""))</f>
        <v/>
      </c>
      <c r="F48" s="81" t="str">
        <f>IF(B48="GND","GND",IFERROR(INDEX(STDIO_J1B2_2x60!A:B,MATCH(B48,STDIO_J1B2_2x60!$B:$B,0),2),""))</f>
        <v/>
      </c>
      <c r="G48" s="81" t="str">
        <f>IF(ISODD(A48),INDEX(PPV_Header!$E$2:$F$31,MATCH(A48,PPV_Header!$F$2:$F$31,0),1),INDEX(PPV_Header!$G$2:$H$31,MATCH(A48,PPV_Header!$G$2:$G$31,0),2))</f>
        <v>NC_PPV_IO47</v>
      </c>
      <c r="H48" s="81"/>
      <c r="I48" s="81"/>
    </row>
    <row r="49" spans="1:9" ht="14.4">
      <c r="A49" s="84">
        <v>48</v>
      </c>
      <c r="B49" s="81" t="s">
        <v>168</v>
      </c>
      <c r="C49" s="84">
        <f>IF(B49="GND","",IFERROR(INDEX(STDIO_J1B1_2x50!A:B,MATCH(B49,STDIO_J1B1_2x50!$B:$B,0),1),""))</f>
        <v>10</v>
      </c>
      <c r="D49" s="81" t="str">
        <f>IF(B49="GND","GND",IFERROR(INDEX(STDIO_J1B1_2x50!A:B,MATCH(B49,STDIO_J1B1_2x50!$B:$B,0),2),""))</f>
        <v>AD3_IN1_DN</v>
      </c>
      <c r="E49" s="84" t="str">
        <f>IF(B49="GND","",IFERROR(INDEX(STDIO_J1B2_2x60!A:B,MATCH(B49,STDIO_J1B2_2x60!$B:$B,0),1),""))</f>
        <v/>
      </c>
      <c r="F49" s="81" t="str">
        <f>IF(B49="GND","GND",IFERROR(INDEX(STDIO_J1B2_2x60!A:B,MATCH(B49,STDIO_J1B2_2x60!$B:$B,0),2),""))</f>
        <v/>
      </c>
      <c r="G49" s="81" t="str">
        <f>IF(ISODD(A49),INDEX(PPV_Header!$E$2:$F$31,MATCH(A49,PPV_Header!$F$2:$F$31,0),1),INDEX(PPV_Header!$G$2:$H$31,MATCH(A49,PPV_Header!$G$2:$G$31,0),2))</f>
        <v>EV_PVCCIN1</v>
      </c>
      <c r="H49" s="81"/>
      <c r="I49" s="81"/>
    </row>
    <row r="50" spans="1:9" ht="14.4">
      <c r="A50" s="84">
        <v>49</v>
      </c>
      <c r="B50" s="81" t="s">
        <v>324</v>
      </c>
      <c r="C50" s="84">
        <f>IF(B50="GND","",IFERROR(INDEX(STDIO_J1B1_2x50!A:B,MATCH(B50,STDIO_J1B1_2x50!$B:$B,0),1),""))</f>
        <v>53</v>
      </c>
      <c r="D50" s="81" t="str">
        <f>IF(B50="GND","GND",IFERROR(INDEX(STDIO_J1B1_2x50!A:B,MATCH(B50,STDIO_J1B1_2x50!$B:$B,0),2),""))</f>
        <v>DUT_SPI1_MOSI</v>
      </c>
      <c r="E50" s="84" t="str">
        <f>IF(B50="GND","",IFERROR(INDEX(STDIO_J1B2_2x60!A:B,MATCH(B50,STDIO_J1B2_2x60!$B:$B,0),1),""))</f>
        <v/>
      </c>
      <c r="F50" s="81" t="str">
        <f>IF(B50="GND","GND",IFERROR(INDEX(STDIO_J1B2_2x60!A:B,MATCH(B50,STDIO_J1B2_2x60!$B:$B,0),2),""))</f>
        <v/>
      </c>
      <c r="G50" s="81" t="str">
        <f>IF(ISODD(A50),INDEX(PPV_Header!$E$2:$F$31,MATCH(A50,PPV_Header!$F$2:$F$31,0),1),INDEX(PPV_Header!$G$2:$H$31,MATCH(A50,PPV_Header!$G$2:$G$31,0),2))</f>
        <v>NC_PPV_IO49</v>
      </c>
      <c r="H50" s="81"/>
      <c r="I50" s="81"/>
    </row>
    <row r="51" spans="1:9" ht="14.4">
      <c r="A51" s="120">
        <v>50</v>
      </c>
      <c r="B51" s="100" t="s">
        <v>225</v>
      </c>
      <c r="C51" s="120" t="str">
        <f>IF(B51="GND","",IFERROR(INDEX(STDIO_J1B1_2x50!A:B,MATCH(B51,STDIO_J1B1_2x50!$B:$B,0),1),""))</f>
        <v/>
      </c>
      <c r="D51" s="100" t="str">
        <f>IF(B51="GND","GND",IFERROR(INDEX(STDIO_J1B1_2x50!A:B,MATCH(B51,STDIO_J1B1_2x50!$B:$B,0),2),""))</f>
        <v>GND</v>
      </c>
      <c r="E51" s="120" t="str">
        <f>IF(B51="GND","",IFERROR(INDEX(STDIO_J1B2_2x60!A:B,MATCH(B51,STDIO_J1B2_2x60!$B:$B,0),1),""))</f>
        <v/>
      </c>
      <c r="F51" s="100" t="str">
        <f>IF(B51="GND","GND",IFERROR(INDEX(STDIO_J1B2_2x60!A:B,MATCH(B51,STDIO_J1B2_2x60!$B:$B,0),2),""))</f>
        <v>GND</v>
      </c>
      <c r="G51" s="100" t="str">
        <f>IF(ISODD(A51),INDEX(PPV_Header!$E$2:$F$31,MATCH(A51,PPV_Header!$F$2:$F$31,0),1),INDEX(PPV_Header!$G$2:$H$31,MATCH(A51,PPV_Header!$G$2:$G$31,0),2))</f>
        <v>GND</v>
      </c>
      <c r="H51" s="81"/>
      <c r="I51" s="81"/>
    </row>
    <row r="52" spans="1:9" ht="14.4">
      <c r="A52" s="84">
        <v>51</v>
      </c>
      <c r="B52" s="81" t="s">
        <v>325</v>
      </c>
      <c r="C52" s="84">
        <f>IF(B52="GND","",IFERROR(INDEX(STDIO_J1B1_2x50!A:B,MATCH(B52,STDIO_J1B1_2x50!$B:$B,0),1),""))</f>
        <v>51</v>
      </c>
      <c r="D52" s="81" t="str">
        <f>IF(B52="GND","GND",IFERROR(INDEX(STDIO_J1B1_2x50!A:B,MATCH(B52,STDIO_J1B1_2x50!$B:$B,0),2),""))</f>
        <v>DUT_SPI1_MISO</v>
      </c>
      <c r="E52" s="84" t="str">
        <f>IF(B52="GND","",IFERROR(INDEX(STDIO_J1B2_2x60!A:B,MATCH(B52,STDIO_J1B2_2x60!$B:$B,0),1),""))</f>
        <v/>
      </c>
      <c r="F52" s="81" t="str">
        <f>IF(B52="GND","GND",IFERROR(INDEX(STDIO_J1B2_2x60!A:B,MATCH(B52,STDIO_J1B2_2x60!$B:$B,0),2),""))</f>
        <v/>
      </c>
      <c r="G52" s="81" t="str">
        <f>IF(ISODD(A52),INDEX(PPV_Header!$E$2:$F$31,MATCH(A52,PPV_Header!$F$2:$F$31,0),1),INDEX(PPV_Header!$G$2:$H$31,MATCH(A52,PPV_Header!$G$2:$G$31,0),2))</f>
        <v>NC_PPV_IO51</v>
      </c>
      <c r="H52" s="81"/>
      <c r="I52" s="81"/>
    </row>
    <row r="53" spans="1:9" ht="14.4">
      <c r="A53" s="84">
        <v>52</v>
      </c>
      <c r="B53" s="81" t="s">
        <v>326</v>
      </c>
      <c r="C53" s="84" t="str">
        <f>IF(B53="GND","",IFERROR(INDEX(STDIO_J1B1_2x50!A:B,MATCH(B53,STDIO_J1B1_2x50!$B:$B,0),1),""))</f>
        <v/>
      </c>
      <c r="D53" s="81" t="str">
        <f>IF(B53="GND","GND",IFERROR(INDEX(STDIO_J1B1_2x50!A:B,MATCH(B53,STDIO_J1B1_2x50!$B:$B,0),2),""))</f>
        <v/>
      </c>
      <c r="E53" s="84">
        <f>IF(B53="GND","",IFERROR(INDEX(STDIO_J1B2_2x60!A:B,MATCH(B53,STDIO_J1B2_2x60!$B:$B,0),1),""))</f>
        <v>44</v>
      </c>
      <c r="F53" s="81" t="str">
        <f>IF(B53="GND","GND",IFERROR(INDEX(STDIO_J1B2_2x60!A:B,MATCH(B53,STDIO_J1B2_2x60!$B:$B,0),2),""))</f>
        <v>DUT_EDM_CH0_DP</v>
      </c>
      <c r="G53" s="81" t="str">
        <f>IF(ISODD(A53),INDEX(PPV_Header!$E$2:$F$31,MATCH(A53,PPV_Header!$F$2:$F$31,0),1),INDEX(PPV_Header!$G$2:$H$31,MATCH(A53,PPV_Header!$G$2:$G$31,0),2))</f>
        <v>EV_GPU0_EDMRES_0_R</v>
      </c>
      <c r="H53" s="81"/>
      <c r="I53" s="81"/>
    </row>
    <row r="54" spans="1:9" ht="14.4">
      <c r="A54" s="84">
        <v>53</v>
      </c>
      <c r="B54" s="81" t="s">
        <v>327</v>
      </c>
      <c r="C54" s="84" t="str">
        <f>IF(B54="GND","",IFERROR(INDEX(STDIO_J1B1_2x50!A:B,MATCH(B54,STDIO_J1B1_2x50!$B:$B,0),1),""))</f>
        <v/>
      </c>
      <c r="D54" s="81" t="str">
        <f>IF(B54="GND","GND",IFERROR(INDEX(STDIO_J1B1_2x50!A:B,MATCH(B54,STDIO_J1B1_2x50!$B:$B,0),2),""))</f>
        <v/>
      </c>
      <c r="E54" s="84">
        <f>IF(B54="GND","",IFERROR(INDEX(STDIO_J1B2_2x60!A:B,MATCH(B54,STDIO_J1B2_2x60!$B:$B,0),1),""))</f>
        <v>52</v>
      </c>
      <c r="F54" s="81" t="str">
        <f>IF(B54="GND","GND",IFERROR(INDEX(STDIO_J1B2_2x60!A:B,MATCH(B54,STDIO_J1B2_2x60!$B:$B,0),2),""))</f>
        <v>DUT_EDM_CH2_DP</v>
      </c>
      <c r="G54" s="81" t="str">
        <f>IF(ISODD(A54),INDEX(PPV_Header!$E$2:$F$31,MATCH(A54,PPV_Header!$F$2:$F$31,0),1),INDEX(PPV_Header!$G$2:$H$31,MATCH(A54,PPV_Header!$G$2:$G$31,0),2))</f>
        <v>EV_GPU1_EDMRES_0_R</v>
      </c>
      <c r="H54" s="81"/>
      <c r="I54" s="81"/>
    </row>
    <row r="55" spans="1:9" ht="14.4">
      <c r="A55" s="84">
        <v>54</v>
      </c>
      <c r="B55" s="81" t="s">
        <v>328</v>
      </c>
      <c r="C55" s="84" t="str">
        <f>IF(B55="GND","",IFERROR(INDEX(STDIO_J1B1_2x50!A:B,MATCH(B55,STDIO_J1B1_2x50!$B:$B,0),1),""))</f>
        <v/>
      </c>
      <c r="D55" s="81" t="str">
        <f>IF(B55="GND","GND",IFERROR(INDEX(STDIO_J1B1_2x50!A:B,MATCH(B55,STDIO_J1B1_2x50!$B:$B,0),2),""))</f>
        <v/>
      </c>
      <c r="E55" s="84">
        <f>IF(B55="GND","",IFERROR(INDEX(STDIO_J1B2_2x60!A:B,MATCH(B55,STDIO_J1B2_2x60!$B:$B,0),1),""))</f>
        <v>46</v>
      </c>
      <c r="F55" s="81" t="str">
        <f>IF(B55="GND","GND",IFERROR(INDEX(STDIO_J1B2_2x60!A:B,MATCH(B55,STDIO_J1B2_2x60!$B:$B,0),2),""))</f>
        <v>DUT_EDM_CH0_DVM_DN</v>
      </c>
      <c r="G55" s="81" t="str">
        <f>IF(ISODD(A55),INDEX(PPV_Header!$E$2:$F$31,MATCH(A55,PPV_Header!$F$2:$F$31,0),1),INDEX(PPV_Header!$G$2:$H$31,MATCH(A55,PPV_Header!$G$2:$G$31,0),2))</f>
        <v>EV_GPU0_EDMRES_8_R</v>
      </c>
      <c r="H55" s="81"/>
      <c r="I55" s="81"/>
    </row>
    <row r="56" spans="1:9" ht="14.4">
      <c r="A56" s="84">
        <v>55</v>
      </c>
      <c r="B56" s="81" t="s">
        <v>329</v>
      </c>
      <c r="C56" s="84" t="str">
        <f>IF(B56="GND","",IFERROR(INDEX(STDIO_J1B1_2x50!A:B,MATCH(B56,STDIO_J1B1_2x50!$B:$B,0),1),""))</f>
        <v/>
      </c>
      <c r="D56" s="81" t="str">
        <f>IF(B56="GND","GND",IFERROR(INDEX(STDIO_J1B1_2x50!A:B,MATCH(B56,STDIO_J1B1_2x50!$B:$B,0),2),""))</f>
        <v/>
      </c>
      <c r="E56" s="84">
        <f>IF(B56="GND","",IFERROR(INDEX(STDIO_J1B2_2x60!A:B,MATCH(B56,STDIO_J1B2_2x60!$B:$B,0),1),""))</f>
        <v>54</v>
      </c>
      <c r="F56" s="81" t="str">
        <f>IF(B56="GND","GND",IFERROR(INDEX(STDIO_J1B2_2x60!A:B,MATCH(B56,STDIO_J1B2_2x60!$B:$B,0),2),""))</f>
        <v>DUT_EDM_CH2_DN</v>
      </c>
      <c r="G56" s="81" t="str">
        <f>IF(ISODD(A56),INDEX(PPV_Header!$E$2:$F$31,MATCH(A56,PPV_Header!$F$2:$F$31,0),1),INDEX(PPV_Header!$G$2:$H$31,MATCH(A56,PPV_Header!$G$2:$G$31,0),2))</f>
        <v>EV_GPU1_EDMRES_8_R</v>
      </c>
      <c r="H56" s="81"/>
      <c r="I56" s="81"/>
    </row>
    <row r="57" spans="1:9" ht="14.4">
      <c r="A57" s="84">
        <v>56</v>
      </c>
      <c r="B57" s="81" t="s">
        <v>330</v>
      </c>
      <c r="C57" s="84" t="str">
        <f>IF(B57="GND","",IFERROR(INDEX(STDIO_J1B1_2x50!A:B,MATCH(B57,STDIO_J1B1_2x50!$B:$B,0),1),""))</f>
        <v/>
      </c>
      <c r="D57" s="81" t="str">
        <f>IF(B57="GND","GND",IFERROR(INDEX(STDIO_J1B1_2x50!A:B,MATCH(B57,STDIO_J1B1_2x50!$B:$B,0),2),""))</f>
        <v/>
      </c>
      <c r="E57" s="84">
        <f>IF(B57="GND","",IFERROR(INDEX(STDIO_J1B2_2x60!A:B,MATCH(B57,STDIO_J1B2_2x60!$B:$B,0),1),""))</f>
        <v>48</v>
      </c>
      <c r="F57" s="81" t="str">
        <f>IF(B57="GND","GND",IFERROR(INDEX(STDIO_J1B2_2x60!A:B,MATCH(B57,STDIO_J1B2_2x60!$B:$B,0),2),""))</f>
        <v>DUT_EDM_CH1_DP</v>
      </c>
      <c r="G57" s="81" t="str">
        <f>IF(ISODD(A57),INDEX(PPV_Header!$E$2:$F$31,MATCH(A57,PPV_Header!$F$2:$F$31,0),1),INDEX(PPV_Header!$G$2:$H$31,MATCH(A57,PPV_Header!$G$2:$G$31,0),2))</f>
        <v>EV_CD0_EDM_1_R</v>
      </c>
      <c r="H57" s="81"/>
      <c r="I57" s="81"/>
    </row>
    <row r="58" spans="1:9" ht="14.4">
      <c r="A58" s="84">
        <v>57</v>
      </c>
      <c r="B58" s="81" t="s">
        <v>331</v>
      </c>
      <c r="C58" s="84" t="str">
        <f>IF(B58="GND","",IFERROR(INDEX(STDIO_J1B1_2x50!A:B,MATCH(B58,STDIO_J1B1_2x50!$B:$B,0),1),""))</f>
        <v/>
      </c>
      <c r="D58" s="81" t="str">
        <f>IF(B58="GND","GND",IFERROR(INDEX(STDIO_J1B1_2x50!A:B,MATCH(B58,STDIO_J1B1_2x50!$B:$B,0),2),""))</f>
        <v/>
      </c>
      <c r="E58" s="84">
        <f>IF(B58="GND","",IFERROR(INDEX(STDIO_J1B2_2x60!A:B,MATCH(B58,STDIO_J1B2_2x60!$B:$B,0),1),""))</f>
        <v>56</v>
      </c>
      <c r="F58" s="81" t="str">
        <f>IF(B58="GND","GND",IFERROR(INDEX(STDIO_J1B2_2x60!A:B,MATCH(B58,STDIO_J1B2_2x60!$B:$B,0),2),""))</f>
        <v>DUT_EDM_CH3_DP</v>
      </c>
      <c r="G58" s="81" t="str">
        <f>IF(ISODD(A58),INDEX(PPV_Header!$E$2:$F$31,MATCH(A58,PPV_Header!$F$2:$F$31,0),1),INDEX(PPV_Header!$G$2:$H$31,MATCH(A58,PPV_Header!$G$2:$G$31,0),2))</f>
        <v>EV_CD1_EDM_1_R</v>
      </c>
      <c r="H58" s="81"/>
      <c r="I58" s="81"/>
    </row>
    <row r="59" spans="1:9" ht="14.4">
      <c r="A59" s="84">
        <v>58</v>
      </c>
      <c r="B59" s="81" t="s">
        <v>332</v>
      </c>
      <c r="C59" s="84" t="str">
        <f>IF(B59="GND","",IFERROR(INDEX(STDIO_J1B1_2x50!A:B,MATCH(B59,STDIO_J1B1_2x50!$B:$B,0),1),""))</f>
        <v/>
      </c>
      <c r="D59" s="81" t="str">
        <f>IF(B59="GND","GND",IFERROR(INDEX(STDIO_J1B1_2x50!A:B,MATCH(B59,STDIO_J1B1_2x50!$B:$B,0),2),""))</f>
        <v/>
      </c>
      <c r="E59" s="84">
        <f>IF(B59="GND","",IFERROR(INDEX(STDIO_J1B2_2x60!A:B,MATCH(B59,STDIO_J1B2_2x60!$B:$B,0),1),""))</f>
        <v>50</v>
      </c>
      <c r="F59" s="81" t="str">
        <f>IF(B59="GND","GND",IFERROR(INDEX(STDIO_J1B2_2x60!A:B,MATCH(B59,STDIO_J1B2_2x60!$B:$B,0),2),""))</f>
        <v>DUT_EDM_CH1_DVM_DN</v>
      </c>
      <c r="G59" s="81" t="str">
        <f>IF(ISODD(A59),INDEX(PPV_Header!$E$2:$F$31,MATCH(A59,PPV_Header!$F$2:$F$31,0),1),INDEX(PPV_Header!$G$2:$H$31,MATCH(A59,PPV_Header!$G$2:$G$31,0),2))</f>
        <v>EV_CD0_EDM_0_R</v>
      </c>
      <c r="H59" s="81"/>
      <c r="I59" s="81"/>
    </row>
    <row r="60" spans="1:9" ht="14.4">
      <c r="A60" s="84">
        <v>59</v>
      </c>
      <c r="B60" s="81" t="s">
        <v>333</v>
      </c>
      <c r="C60" s="84" t="str">
        <f>IF(B60="GND","",IFERROR(INDEX(STDIO_J1B1_2x50!A:B,MATCH(B60,STDIO_J1B1_2x50!$B:$B,0),1),""))</f>
        <v/>
      </c>
      <c r="D60" s="81" t="str">
        <f>IF(B60="GND","GND",IFERROR(INDEX(STDIO_J1B1_2x50!A:B,MATCH(B60,STDIO_J1B1_2x50!$B:$B,0),2),""))</f>
        <v/>
      </c>
      <c r="E60" s="84">
        <f>IF(B60="GND","",IFERROR(INDEX(STDIO_J1B2_2x60!A:B,MATCH(B60,STDIO_J1B2_2x60!$B:$B,0),1),""))</f>
        <v>58</v>
      </c>
      <c r="F60" s="81" t="str">
        <f>IF(B60="GND","GND",IFERROR(INDEX(STDIO_J1B2_2x60!A:B,MATCH(B60,STDIO_J1B2_2x60!$B:$B,0),2),""))</f>
        <v>DUT_EDM_CH3_DN</v>
      </c>
      <c r="G60" s="81" t="str">
        <f>IF(ISODD(A60),INDEX(PPV_Header!$E$2:$F$31,MATCH(A60,PPV_Header!$F$2:$F$31,0),1),INDEX(PPV_Header!$G$2:$H$31,MATCH(A60,PPV_Header!$G$2:$G$31,0),2))</f>
        <v>EV_CD1_EDM_0_R</v>
      </c>
      <c r="H60" s="81"/>
      <c r="I60" s="81"/>
    </row>
    <row r="61" spans="1:9" ht="14.4">
      <c r="A61" s="84">
        <v>60</v>
      </c>
      <c r="B61" s="81" t="s">
        <v>334</v>
      </c>
      <c r="C61" s="84" t="str">
        <f>IF(B61="GND","",IFERROR(INDEX(STDIO_J1B1_2x50!A:B,MATCH(B61,STDIO_J1B1_2x50!$B:$B,0),1),""))</f>
        <v/>
      </c>
      <c r="D61" s="81" t="str">
        <f>IF(B61="GND","GND",IFERROR(INDEX(STDIO_J1B1_2x50!A:B,MATCH(B61,STDIO_J1B1_2x50!$B:$B,0),2),""))</f>
        <v/>
      </c>
      <c r="E61" s="84" t="str">
        <f>IF(B61="GND","",IFERROR(INDEX(STDIO_J1B2_2x60!A:B,MATCH(B61,STDIO_J1B2_2x60!$B:$B,0),1),""))</f>
        <v/>
      </c>
      <c r="F61" s="81" t="str">
        <f>IF(B61="GND","GND",IFERROR(INDEX(STDIO_J1B2_2x60!A:B,MATCH(B61,STDIO_J1B2_2x60!$B:$B,0),2),""))</f>
        <v/>
      </c>
      <c r="G61" s="81" t="str">
        <f>IF(ISODD(A61),INDEX(PPV_Header!$E$2:$F$31,MATCH(A61,PPV_Header!$F$2:$F$31,0),1),INDEX(PPV_Header!$G$2:$H$31,MATCH(A61,PPV_Header!$G$2:$G$31,0),2))</f>
        <v>Connect to pin 1</v>
      </c>
      <c r="H61" s="81"/>
      <c r="I61" s="81"/>
    </row>
    <row r="62" spans="1:9" ht="14.4">
      <c r="A62" s="120">
        <v>61</v>
      </c>
      <c r="B62" s="100" t="s">
        <v>225</v>
      </c>
      <c r="C62" s="120" t="str">
        <f>IF(B62="GND","",IFERROR(INDEX(STDIO_J1B1_2x50!A:B,MATCH(B62,STDIO_J1B1_2x50!$B:$B,0),1),""))</f>
        <v/>
      </c>
      <c r="D62" s="100" t="str">
        <f>IF(B62="GND","GND",IFERROR(INDEX(STDIO_J1B1_2x50!A:B,MATCH(B62,STDIO_J1B1_2x50!$B:$B,0),2),""))</f>
        <v>GND</v>
      </c>
      <c r="E62" s="120" t="str">
        <f>IF(B62="GND","",IFERROR(INDEX(STDIO_J1B2_2x60!A:B,MATCH(B62,STDIO_J1B2_2x60!$B:$B,0),1),""))</f>
        <v/>
      </c>
      <c r="F62" s="100" t="str">
        <f>IF(B62="GND","GND",IFERROR(INDEX(STDIO_J1B2_2x60!A:B,MATCH(B62,STDIO_J1B2_2x60!$B:$B,0),2),""))</f>
        <v>GND</v>
      </c>
      <c r="G62" s="100"/>
      <c r="H62" s="81"/>
      <c r="I62" s="81"/>
    </row>
    <row r="63" spans="1:9" ht="14.4">
      <c r="A63" s="120">
        <v>62</v>
      </c>
      <c r="B63" s="100" t="s">
        <v>225</v>
      </c>
      <c r="C63" s="120" t="str">
        <f>IF(B63="GND","",IFERROR(INDEX(STDIO_J1B1_2x50!A:B,MATCH(B63,STDIO_J1B1_2x50!$B:$B,0),1),""))</f>
        <v/>
      </c>
      <c r="D63" s="100" t="str">
        <f>IF(B63="GND","GND",IFERROR(INDEX(STDIO_J1B1_2x50!A:B,MATCH(B63,STDIO_J1B1_2x50!$B:$B,0),2),""))</f>
        <v>GND</v>
      </c>
      <c r="E63" s="120" t="str">
        <f>IF(B63="GND","",IFERROR(INDEX(STDIO_J1B2_2x60!A:B,MATCH(B63,STDIO_J1B2_2x60!$B:$B,0),1),""))</f>
        <v/>
      </c>
      <c r="F63" s="100" t="str">
        <f>IF(B63="GND","GND",IFERROR(INDEX(STDIO_J1B2_2x60!A:B,MATCH(B63,STDIO_J1B2_2x60!$B:$B,0),2),""))</f>
        <v>GND</v>
      </c>
      <c r="G63" s="100"/>
      <c r="H63" s="81"/>
      <c r="I63" s="81"/>
    </row>
    <row r="64" spans="1:9" ht="14.4">
      <c r="A64" s="120">
        <v>63</v>
      </c>
      <c r="B64" s="100" t="s">
        <v>225</v>
      </c>
      <c r="C64" s="120" t="str">
        <f>IF(B64="GND","",IFERROR(INDEX(STDIO_J1B1_2x50!A:B,MATCH(B64,STDIO_J1B1_2x50!$B:$B,0),1),""))</f>
        <v/>
      </c>
      <c r="D64" s="100" t="str">
        <f>IF(B64="GND","GND",IFERROR(INDEX(STDIO_J1B1_2x50!A:B,MATCH(B64,STDIO_J1B1_2x50!$B:$B,0),2),""))</f>
        <v>GND</v>
      </c>
      <c r="E64" s="120" t="str">
        <f>IF(B64="GND","",IFERROR(INDEX(STDIO_J1B2_2x60!A:B,MATCH(B64,STDIO_J1B2_2x60!$B:$B,0),1),""))</f>
        <v/>
      </c>
      <c r="F64" s="100" t="str">
        <f>IF(B64="GND","GND",IFERROR(INDEX(STDIO_J1B2_2x60!A:B,MATCH(B64,STDIO_J1B2_2x60!$B:$B,0),2),""))</f>
        <v>GND</v>
      </c>
      <c r="G64" s="100"/>
      <c r="H64" s="81"/>
      <c r="I64" s="81"/>
    </row>
    <row r="65" spans="1:9" ht="14.4">
      <c r="A65" s="120">
        <v>64</v>
      </c>
      <c r="B65" s="100" t="s">
        <v>225</v>
      </c>
      <c r="C65" s="120" t="str">
        <f>IF(B65="GND","",IFERROR(INDEX(STDIO_J1B1_2x50!A:B,MATCH(B65,STDIO_J1B1_2x50!$B:$B,0),1),""))</f>
        <v/>
      </c>
      <c r="D65" s="100" t="str">
        <f>IF(B65="GND","GND",IFERROR(INDEX(STDIO_J1B1_2x50!A:B,MATCH(B65,STDIO_J1B1_2x50!$B:$B,0),2),""))</f>
        <v>GND</v>
      </c>
      <c r="E65" s="120" t="str">
        <f>IF(B65="GND","",IFERROR(INDEX(STDIO_J1B2_2x60!A:B,MATCH(B65,STDIO_J1B2_2x60!$B:$B,0),1),""))</f>
        <v/>
      </c>
      <c r="F65" s="100" t="str">
        <f>IF(B65="GND","GND",IFERROR(INDEX(STDIO_J1B2_2x60!A:B,MATCH(B65,STDIO_J1B2_2x60!$B:$B,0),2),""))</f>
        <v>GND</v>
      </c>
      <c r="G65" s="100"/>
      <c r="H65" s="81"/>
      <c r="I65" s="81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D7BC2-9D3A-4C60-AEFF-0A893B677162}">
  <dimension ref="A1:K69"/>
  <sheetViews>
    <sheetView topLeftCell="A40" workbookViewId="0">
      <selection activeCell="E64" sqref="E64"/>
    </sheetView>
  </sheetViews>
  <sheetFormatPr defaultRowHeight="13.2"/>
  <cols>
    <col min="2" max="2" width="36.5546875" bestFit="1" customWidth="1"/>
    <col min="3" max="3" width="6.77734375" customWidth="1"/>
    <col min="4" max="4" width="18.77734375" customWidth="1"/>
    <col min="5" max="5" width="9.77734375" customWidth="1"/>
    <col min="6" max="6" width="9.77734375" style="101" bestFit="1" customWidth="1"/>
    <col min="10" max="10" width="21.21875" bestFit="1" customWidth="1"/>
    <col min="11" max="11" width="12.33203125" bestFit="1" customWidth="1"/>
  </cols>
  <sheetData>
    <row r="1" spans="1:6">
      <c r="A1" s="101">
        <v>1</v>
      </c>
      <c r="B1" t="s">
        <v>335</v>
      </c>
      <c r="C1" s="102">
        <f t="shared" ref="C1:C21" si="0">A1</f>
        <v>1</v>
      </c>
      <c r="D1" s="103"/>
      <c r="E1" s="101" t="str">
        <f>_xlfn.IFNA(VLOOKUP(B1,PPV_Header!H$2:K$31,2,FALSE),"")</f>
        <v/>
      </c>
    </row>
    <row r="2" spans="1:6">
      <c r="A2" s="101">
        <v>2</v>
      </c>
      <c r="B2" t="s">
        <v>207</v>
      </c>
      <c r="C2" s="102">
        <f t="shared" si="0"/>
        <v>2</v>
      </c>
      <c r="D2" s="103" t="s">
        <v>336</v>
      </c>
      <c r="E2" s="101" t="str">
        <f>_xlfn.IFNA(VLOOKUP(B2,PPV_Header!H$2:K$31,2,FALSE),"")</f>
        <v>3.3V</v>
      </c>
      <c r="F2" s="119"/>
    </row>
    <row r="3" spans="1:6">
      <c r="A3" s="101">
        <v>3</v>
      </c>
      <c r="B3" t="s">
        <v>213</v>
      </c>
      <c r="C3" s="102">
        <f t="shared" si="0"/>
        <v>3</v>
      </c>
      <c r="D3" s="103"/>
      <c r="E3" s="101" t="str">
        <f>_xlfn.IFNA(VLOOKUP(B3,PPV_Header!H$2:K$31,2,FALSE),"")</f>
        <v/>
      </c>
    </row>
    <row r="4" spans="1:6">
      <c r="A4" s="101">
        <v>4</v>
      </c>
      <c r="B4" t="s">
        <v>214</v>
      </c>
      <c r="C4" s="102">
        <f t="shared" si="0"/>
        <v>4</v>
      </c>
      <c r="D4" s="103" t="s">
        <v>337</v>
      </c>
      <c r="E4" s="101" t="str">
        <f>_xlfn.IFNA(VLOOKUP(B4,PPV_Header!H$2:K$31,2,FALSE),"")</f>
        <v>12V</v>
      </c>
    </row>
    <row r="5" spans="1:6">
      <c r="A5" s="101">
        <v>5</v>
      </c>
      <c r="B5" t="s">
        <v>217</v>
      </c>
      <c r="C5" s="102">
        <f t="shared" si="0"/>
        <v>5</v>
      </c>
      <c r="D5" s="103"/>
      <c r="E5" s="101" t="str">
        <f>_xlfn.IFNA(VLOOKUP(B5,PPV_Header!H$2:K$31,2,FALSE),"")</f>
        <v/>
      </c>
    </row>
    <row r="6" spans="1:6">
      <c r="A6" s="101">
        <v>6</v>
      </c>
      <c r="B6" t="s">
        <v>218</v>
      </c>
      <c r="C6" s="102">
        <f t="shared" si="0"/>
        <v>6</v>
      </c>
      <c r="D6" s="103" t="s">
        <v>338</v>
      </c>
      <c r="E6" s="101" t="str">
        <f>_xlfn.IFNA(VLOOKUP(B6,PPV_Header!H$2:K$31,2,FALSE),"")</f>
        <v>3.3V</v>
      </c>
      <c r="F6" s="119"/>
    </row>
    <row r="7" spans="1:6">
      <c r="A7" s="101">
        <v>7</v>
      </c>
      <c r="B7" t="s">
        <v>339</v>
      </c>
      <c r="C7" s="102">
        <f t="shared" si="0"/>
        <v>7</v>
      </c>
      <c r="D7" s="103"/>
      <c r="E7" s="101" t="str">
        <f>_xlfn.IFNA(VLOOKUP(B7,PPV_Header!H$2:K$31,2,FALSE),"")</f>
        <v/>
      </c>
    </row>
    <row r="8" spans="1:6">
      <c r="A8" s="101">
        <v>8</v>
      </c>
      <c r="B8" t="s">
        <v>221</v>
      </c>
      <c r="C8" s="102">
        <f t="shared" si="0"/>
        <v>8</v>
      </c>
      <c r="D8" s="103" t="s">
        <v>340</v>
      </c>
      <c r="E8" s="101" t="str">
        <f>_xlfn.IFNA(VLOOKUP(B8,PPV_Header!H$2:K$31,2,FALSE),"")</f>
        <v>2.5V</v>
      </c>
    </row>
    <row r="9" spans="1:6">
      <c r="A9" s="101">
        <v>9</v>
      </c>
      <c r="B9" t="s">
        <v>224</v>
      </c>
      <c r="C9" s="102">
        <f t="shared" si="0"/>
        <v>9</v>
      </c>
      <c r="D9" s="103"/>
      <c r="E9" s="101" t="str">
        <f>_xlfn.IFNA(VLOOKUP(B9,PPV_Header!H$2:K$31,2,FALSE),"")</f>
        <v/>
      </c>
    </row>
    <row r="10" spans="1:6">
      <c r="A10" s="101">
        <v>10</v>
      </c>
      <c r="B10" t="s">
        <v>225</v>
      </c>
      <c r="C10" s="102">
        <f t="shared" si="0"/>
        <v>10</v>
      </c>
      <c r="D10" s="104" t="s">
        <v>225</v>
      </c>
      <c r="E10" s="101">
        <f>_xlfn.IFNA(VLOOKUP(B10,PPV_Header!H$2:K$31,2,FALSE),"")</f>
        <v>0</v>
      </c>
    </row>
    <row r="11" spans="1:6">
      <c r="A11" s="101">
        <v>11</v>
      </c>
      <c r="B11" t="s">
        <v>227</v>
      </c>
      <c r="C11" s="102">
        <f t="shared" si="0"/>
        <v>11</v>
      </c>
      <c r="D11" s="103"/>
      <c r="E11" s="101" t="str">
        <f>_xlfn.IFNA(VLOOKUP(B11,PPV_Header!H$2:K$31,2,FALSE),"")</f>
        <v/>
      </c>
    </row>
    <row r="12" spans="1:6">
      <c r="A12" s="101">
        <v>12</v>
      </c>
      <c r="B12" t="s">
        <v>228</v>
      </c>
      <c r="C12" s="102">
        <f t="shared" si="0"/>
        <v>12</v>
      </c>
      <c r="D12" s="103" t="s">
        <v>341</v>
      </c>
      <c r="E12" s="101" t="str">
        <f>_xlfn.IFNA(VLOOKUP(B12,PPV_Header!H$2:K$31,2,FALSE),"")</f>
        <v>1.8V</v>
      </c>
    </row>
    <row r="13" spans="1:6">
      <c r="A13" s="101">
        <v>13</v>
      </c>
      <c r="B13" t="s">
        <v>231</v>
      </c>
      <c r="C13" s="102">
        <f t="shared" si="0"/>
        <v>13</v>
      </c>
      <c r="D13" s="103"/>
      <c r="E13" s="101" t="str">
        <f>_xlfn.IFNA(VLOOKUP(B13,PPV_Header!H$2:K$31,2,FALSE),"")</f>
        <v/>
      </c>
    </row>
    <row r="14" spans="1:6">
      <c r="A14" s="101">
        <v>14</v>
      </c>
      <c r="B14" t="s">
        <v>232</v>
      </c>
      <c r="C14" s="102">
        <f t="shared" si="0"/>
        <v>14</v>
      </c>
      <c r="D14" s="103" t="s">
        <v>342</v>
      </c>
      <c r="E14" s="101" t="str">
        <f>_xlfn.IFNA(VLOOKUP(B14,PPV_Header!H$2:K$31,2,FALSE),"")</f>
        <v>1.8V</v>
      </c>
    </row>
    <row r="15" spans="1:6">
      <c r="A15" s="101">
        <v>15</v>
      </c>
      <c r="B15" t="s">
        <v>234</v>
      </c>
      <c r="C15" s="102">
        <f t="shared" si="0"/>
        <v>15</v>
      </c>
      <c r="D15" s="103"/>
      <c r="E15" s="101" t="str">
        <f>_xlfn.IFNA(VLOOKUP(B15,PPV_Header!H$2:K$31,2,FALSE),"")</f>
        <v/>
      </c>
    </row>
    <row r="16" spans="1:6">
      <c r="A16" s="101">
        <v>16</v>
      </c>
      <c r="B16" t="s">
        <v>235</v>
      </c>
      <c r="C16" s="102">
        <f t="shared" si="0"/>
        <v>16</v>
      </c>
      <c r="D16" s="103" t="s">
        <v>343</v>
      </c>
      <c r="E16" s="101" t="str">
        <f>_xlfn.IFNA(VLOOKUP(B16,PPV_Header!H$2:K$31,2,FALSE),"")</f>
        <v>0.75V</v>
      </c>
    </row>
    <row r="17" spans="1:11">
      <c r="A17" s="101">
        <v>17</v>
      </c>
      <c r="B17" t="s">
        <v>238</v>
      </c>
      <c r="C17" s="102">
        <f t="shared" si="0"/>
        <v>17</v>
      </c>
      <c r="D17" s="104"/>
      <c r="E17" s="101" t="str">
        <f>_xlfn.IFNA(VLOOKUP(B17,PPV_Header!H$2:K$31,2,FALSE),"")</f>
        <v/>
      </c>
    </row>
    <row r="18" spans="1:11">
      <c r="A18" s="101">
        <v>18</v>
      </c>
      <c r="B18" t="s">
        <v>239</v>
      </c>
      <c r="C18" s="102">
        <f t="shared" si="0"/>
        <v>18</v>
      </c>
      <c r="D18" s="103" t="s">
        <v>344</v>
      </c>
      <c r="E18" s="101" t="str">
        <f>_xlfn.IFNA(VLOOKUP(B18,PPV_Header!H$2:K$31,2,FALSE),"")</f>
        <v>0.75V</v>
      </c>
    </row>
    <row r="19" spans="1:11">
      <c r="A19" s="101">
        <v>19</v>
      </c>
      <c r="B19" t="s">
        <v>241</v>
      </c>
      <c r="C19" s="102">
        <f t="shared" si="0"/>
        <v>19</v>
      </c>
      <c r="D19" s="103"/>
      <c r="E19" s="101" t="str">
        <f>_xlfn.IFNA(VLOOKUP(B19,PPV_Header!H$2:K$31,2,FALSE),"")</f>
        <v/>
      </c>
    </row>
    <row r="20" spans="1:11">
      <c r="A20" s="101">
        <v>20</v>
      </c>
      <c r="B20" t="s">
        <v>225</v>
      </c>
      <c r="C20" s="102">
        <f t="shared" si="0"/>
        <v>20</v>
      </c>
      <c r="D20" s="104" t="s">
        <v>225</v>
      </c>
      <c r="E20" s="101">
        <f>_xlfn.IFNA(VLOOKUP(B20,PPV_Header!H$2:K$31,2,FALSE),"")</f>
        <v>0</v>
      </c>
    </row>
    <row r="21" spans="1:11">
      <c r="A21" s="101">
        <v>21</v>
      </c>
      <c r="B21" t="s">
        <v>243</v>
      </c>
      <c r="C21" s="102">
        <f t="shared" si="0"/>
        <v>21</v>
      </c>
      <c r="D21" s="105"/>
      <c r="E21" s="101" t="str">
        <f>_xlfn.IFNA(VLOOKUP(B21,PPV_Header!H$2:K$31,2,FALSE),"")</f>
        <v/>
      </c>
    </row>
    <row r="22" spans="1:11">
      <c r="A22" s="101">
        <v>22</v>
      </c>
      <c r="B22" s="127" t="s">
        <v>244</v>
      </c>
      <c r="C22" s="102">
        <f>A22</f>
        <v>22</v>
      </c>
      <c r="D22" s="105" t="s">
        <v>345</v>
      </c>
      <c r="E22" s="101" t="str">
        <f>_xlfn.IFNA(VLOOKUP(B22,PPV_Header!H$2:K$31,2,FALSE),"")</f>
        <v>0.75V</v>
      </c>
    </row>
    <row r="23" spans="1:11">
      <c r="A23" s="101">
        <v>23</v>
      </c>
      <c r="B23" t="s">
        <v>246</v>
      </c>
      <c r="C23" s="102">
        <f t="shared" ref="C23:C50" si="1">A23</f>
        <v>23</v>
      </c>
      <c r="D23" s="103"/>
      <c r="E23" s="101" t="str">
        <f>_xlfn.IFNA(VLOOKUP(B23,PPV_Header!H$2:K$31,2,FALSE),"")</f>
        <v/>
      </c>
    </row>
    <row r="24" spans="1:11">
      <c r="A24" s="101">
        <v>24</v>
      </c>
      <c r="B24" s="127" t="s">
        <v>247</v>
      </c>
      <c r="C24" s="102">
        <f t="shared" si="1"/>
        <v>24</v>
      </c>
      <c r="D24" s="105" t="s">
        <v>346</v>
      </c>
      <c r="E24" s="101" t="str">
        <f>_xlfn.IFNA(VLOOKUP(B24,PPV_Header!H$2:K$31,2,FALSE),"")</f>
        <v>0.75V</v>
      </c>
    </row>
    <row r="25" spans="1:11">
      <c r="A25" s="101">
        <v>25</v>
      </c>
      <c r="B25" t="s">
        <v>249</v>
      </c>
      <c r="C25" s="102">
        <f t="shared" si="1"/>
        <v>25</v>
      </c>
      <c r="D25" s="103"/>
      <c r="E25" s="101" t="str">
        <f>_xlfn.IFNA(VLOOKUP(B25,PPV_Header!H$2:K$31,2,FALSE),"")</f>
        <v/>
      </c>
    </row>
    <row r="26" spans="1:11">
      <c r="A26" s="101">
        <v>26</v>
      </c>
      <c r="B26" s="127" t="s">
        <v>250</v>
      </c>
      <c r="C26" s="102">
        <f t="shared" si="1"/>
        <v>26</v>
      </c>
      <c r="D26" s="105" t="s">
        <v>347</v>
      </c>
      <c r="E26" s="101" t="str">
        <f>_xlfn.IFNA(VLOOKUP(B26,PPV_Header!H$2:K$31,2,FALSE),"")</f>
        <v>0.85V</v>
      </c>
    </row>
    <row r="27" spans="1:11">
      <c r="A27" s="101">
        <v>27</v>
      </c>
      <c r="B27" t="s">
        <v>225</v>
      </c>
      <c r="C27" s="102">
        <f t="shared" si="1"/>
        <v>27</v>
      </c>
      <c r="D27" s="104"/>
      <c r="E27" s="101">
        <f>_xlfn.IFNA(VLOOKUP(B27,PPV_Header!H$2:K$31,2,FALSE),"")</f>
        <v>0</v>
      </c>
    </row>
    <row r="28" spans="1:11" ht="13.8" thickBot="1">
      <c r="A28" s="101">
        <v>28</v>
      </c>
      <c r="B28" s="127" t="s">
        <v>253</v>
      </c>
      <c r="C28" s="102">
        <f t="shared" si="1"/>
        <v>28</v>
      </c>
      <c r="D28" s="105" t="s">
        <v>348</v>
      </c>
      <c r="E28" s="101" t="str">
        <f>_xlfn.IFNA(VLOOKUP(B28,PPV_Header!H$2:K$31,2,FALSE),"")</f>
        <v>0.85V</v>
      </c>
    </row>
    <row r="29" spans="1:11" ht="15" thickBot="1">
      <c r="A29" s="101">
        <v>29</v>
      </c>
      <c r="B29" t="s">
        <v>254</v>
      </c>
      <c r="C29" s="102">
        <f t="shared" si="1"/>
        <v>29</v>
      </c>
      <c r="D29" s="105"/>
      <c r="E29" s="101" t="str">
        <f>_xlfn.IFNA(VLOOKUP(B29,PPV_Header!H$2:K$31,2,FALSE),"")</f>
        <v/>
      </c>
      <c r="I29" s="106"/>
      <c r="J29" s="107" t="s">
        <v>349</v>
      </c>
      <c r="K29" s="108" t="s">
        <v>201</v>
      </c>
    </row>
    <row r="30" spans="1:11" ht="15" thickBot="1">
      <c r="A30" s="101">
        <v>30</v>
      </c>
      <c r="B30" t="s">
        <v>225</v>
      </c>
      <c r="C30" s="102">
        <f t="shared" si="1"/>
        <v>30</v>
      </c>
      <c r="D30" s="104" t="s">
        <v>225</v>
      </c>
      <c r="E30" s="101">
        <f>_xlfn.IFNA(VLOOKUP(B30,PPV_Header!H$2:K$31,2,FALSE),"")</f>
        <v>0</v>
      </c>
      <c r="I30" s="106"/>
      <c r="J30" s="109" t="s">
        <v>340</v>
      </c>
      <c r="K30" s="110" t="s">
        <v>222</v>
      </c>
    </row>
    <row r="31" spans="1:11" ht="15" thickBot="1">
      <c r="A31" s="101">
        <v>31</v>
      </c>
      <c r="B31" t="s">
        <v>256</v>
      </c>
      <c r="C31" s="102">
        <f t="shared" si="1"/>
        <v>31</v>
      </c>
      <c r="D31" s="103"/>
      <c r="E31" s="101" t="str">
        <f>_xlfn.IFNA(VLOOKUP(B31,PPV_Header!H$2:K$31,2,FALSE),"")</f>
        <v/>
      </c>
      <c r="I31" s="106"/>
      <c r="J31" s="109" t="s">
        <v>341</v>
      </c>
      <c r="K31" s="110" t="s">
        <v>229</v>
      </c>
    </row>
    <row r="32" spans="1:11" ht="15" thickBot="1">
      <c r="A32" s="101">
        <v>32</v>
      </c>
      <c r="B32" t="s">
        <v>257</v>
      </c>
      <c r="C32" s="102">
        <f t="shared" si="1"/>
        <v>32</v>
      </c>
      <c r="D32" s="103" t="s">
        <v>350</v>
      </c>
      <c r="E32" s="101" t="str">
        <f>_xlfn.IFNA(VLOOKUP(B32,PPV_Header!H$2:K$31,2,FALSE),"")</f>
        <v>1.0V</v>
      </c>
      <c r="I32" s="106"/>
      <c r="J32" s="109" t="s">
        <v>342</v>
      </c>
      <c r="K32" s="110" t="s">
        <v>229</v>
      </c>
    </row>
    <row r="33" spans="1:11" ht="15" thickBot="1">
      <c r="A33" s="101">
        <v>33</v>
      </c>
      <c r="B33" t="s">
        <v>261</v>
      </c>
      <c r="C33" s="102">
        <f t="shared" si="1"/>
        <v>33</v>
      </c>
      <c r="D33" s="103"/>
      <c r="E33" s="101" t="str">
        <f>_xlfn.IFNA(VLOOKUP(B33,PPV_Header!H$2:K$31,2,FALSE),"")</f>
        <v/>
      </c>
      <c r="I33" s="106"/>
      <c r="J33" s="109" t="s">
        <v>351</v>
      </c>
      <c r="K33" s="110" t="s">
        <v>236</v>
      </c>
    </row>
    <row r="34" spans="1:11" ht="15" thickBot="1">
      <c r="A34" s="101">
        <v>34</v>
      </c>
      <c r="B34" t="s">
        <v>262</v>
      </c>
      <c r="C34" s="102">
        <f t="shared" si="1"/>
        <v>34</v>
      </c>
      <c r="D34" s="103" t="s">
        <v>352</v>
      </c>
      <c r="E34" s="101" t="str">
        <f>_xlfn.IFNA(VLOOKUP(B34,PPV_Header!H$2:K$31,2,FALSE),"")</f>
        <v>1.0V</v>
      </c>
      <c r="I34" s="106"/>
      <c r="J34" s="109" t="s">
        <v>353</v>
      </c>
      <c r="K34" s="110" t="s">
        <v>236</v>
      </c>
    </row>
    <row r="35" spans="1:11" ht="15" thickBot="1">
      <c r="A35" s="101">
        <v>35</v>
      </c>
      <c r="B35" t="s">
        <v>264</v>
      </c>
      <c r="C35" s="102">
        <f t="shared" si="1"/>
        <v>35</v>
      </c>
      <c r="D35" s="103"/>
      <c r="E35" s="101" t="str">
        <f>_xlfn.IFNA(VLOOKUP(B35,PPV_Header!H$2:K$31,2,FALSE),"")</f>
        <v/>
      </c>
      <c r="I35" s="106"/>
      <c r="J35" s="109" t="s">
        <v>354</v>
      </c>
      <c r="K35" s="110" t="s">
        <v>251</v>
      </c>
    </row>
    <row r="36" spans="1:11" ht="15" thickBot="1">
      <c r="A36" s="101">
        <v>36</v>
      </c>
      <c r="B36" t="s">
        <v>265</v>
      </c>
      <c r="C36" s="102">
        <f t="shared" si="1"/>
        <v>36</v>
      </c>
      <c r="D36" s="103" t="s">
        <v>355</v>
      </c>
      <c r="E36" s="101" t="str">
        <f>_xlfn.IFNA(VLOOKUP(B36,PPV_Header!H$2:K$31,2,FALSE),"")</f>
        <v>?</v>
      </c>
      <c r="I36" s="106"/>
      <c r="J36" s="111" t="s">
        <v>341</v>
      </c>
      <c r="K36" s="110" t="s">
        <v>356</v>
      </c>
    </row>
    <row r="37" spans="1:11" ht="15" thickBot="1">
      <c r="A37" s="101">
        <v>37</v>
      </c>
      <c r="B37" t="s">
        <v>268</v>
      </c>
      <c r="C37" s="102">
        <f t="shared" si="1"/>
        <v>37</v>
      </c>
      <c r="D37" s="103"/>
      <c r="E37" s="101" t="str">
        <f>_xlfn.IFNA(VLOOKUP(B37,PPV_Header!H$2:K$31,2,FALSE),"")</f>
        <v/>
      </c>
      <c r="I37" s="106"/>
      <c r="J37" s="109" t="s">
        <v>352</v>
      </c>
      <c r="K37" s="110" t="s">
        <v>258</v>
      </c>
    </row>
    <row r="38" spans="1:11" ht="15" thickBot="1">
      <c r="A38" s="101">
        <v>38</v>
      </c>
      <c r="B38" t="s">
        <v>269</v>
      </c>
      <c r="C38" s="102">
        <f t="shared" si="1"/>
        <v>38</v>
      </c>
      <c r="D38" s="103" t="s">
        <v>357</v>
      </c>
      <c r="E38" s="101" t="str">
        <f>_xlfn.IFNA(VLOOKUP(B38,PPV_Header!H$2:K$31,2,FALSE),"")</f>
        <v>0V</v>
      </c>
      <c r="I38" s="106"/>
      <c r="J38" s="109" t="s">
        <v>358</v>
      </c>
      <c r="K38" s="110" t="s">
        <v>251</v>
      </c>
    </row>
    <row r="39" spans="1:11" ht="15" thickBot="1">
      <c r="A39" s="101">
        <v>39</v>
      </c>
      <c r="B39" t="s">
        <v>271</v>
      </c>
      <c r="C39" s="102">
        <f t="shared" si="1"/>
        <v>39</v>
      </c>
      <c r="D39" s="104"/>
      <c r="E39" s="101" t="str">
        <f>_xlfn.IFNA(VLOOKUP(B39,PPV_Header!H$2:K$31,2,FALSE),"")</f>
        <v/>
      </c>
      <c r="I39" s="106"/>
      <c r="J39" s="109" t="s">
        <v>357</v>
      </c>
      <c r="K39" s="110" t="s">
        <v>359</v>
      </c>
    </row>
    <row r="40" spans="1:11" ht="15" thickBot="1">
      <c r="A40" s="101">
        <v>40</v>
      </c>
      <c r="B40" t="s">
        <v>225</v>
      </c>
      <c r="C40" s="102">
        <f t="shared" si="1"/>
        <v>40</v>
      </c>
      <c r="D40" s="104" t="s">
        <v>225</v>
      </c>
      <c r="E40" s="101">
        <f>_xlfn.IFNA(VLOOKUP(B40,PPV_Header!H$2:K$31,2,FALSE),"")</f>
        <v>0</v>
      </c>
      <c r="I40" s="106"/>
      <c r="J40" s="112" t="s">
        <v>360</v>
      </c>
      <c r="K40" s="110" t="s">
        <v>361</v>
      </c>
    </row>
    <row r="41" spans="1:11" ht="15" thickBot="1">
      <c r="A41" s="101">
        <v>41</v>
      </c>
      <c r="B41" t="s">
        <v>272</v>
      </c>
      <c r="C41" s="102">
        <f t="shared" si="1"/>
        <v>41</v>
      </c>
      <c r="D41" s="104"/>
      <c r="E41" s="101" t="str">
        <f>_xlfn.IFNA(VLOOKUP(B41,PPV_Header!H$2:K$31,2,FALSE),"")</f>
        <v/>
      </c>
      <c r="I41" s="106"/>
      <c r="J41" s="109" t="s">
        <v>362</v>
      </c>
      <c r="K41" s="110" t="s">
        <v>229</v>
      </c>
    </row>
    <row r="42" spans="1:11" ht="15" thickBot="1">
      <c r="A42" s="101">
        <v>42</v>
      </c>
      <c r="B42" t="s">
        <v>273</v>
      </c>
      <c r="C42" s="102">
        <f t="shared" si="1"/>
        <v>42</v>
      </c>
      <c r="D42" s="106" t="s">
        <v>363</v>
      </c>
      <c r="E42" s="101" t="str">
        <f>_xlfn.IFNA(VLOOKUP(B42,PPV_Header!H$2:K$31,2,FALSE),"")</f>
        <v>0.85V</v>
      </c>
      <c r="F42" s="119" t="s">
        <v>364</v>
      </c>
      <c r="I42" s="106"/>
      <c r="J42" s="113" t="s">
        <v>365</v>
      </c>
      <c r="K42" s="114" t="s">
        <v>201</v>
      </c>
    </row>
    <row r="43" spans="1:11" ht="15" thickBot="1">
      <c r="A43" s="101">
        <v>43</v>
      </c>
      <c r="B43" t="s">
        <v>225</v>
      </c>
      <c r="C43" s="102">
        <f t="shared" si="1"/>
        <v>43</v>
      </c>
      <c r="D43" s="104"/>
      <c r="E43" s="101">
        <f>_xlfn.IFNA(VLOOKUP(B43,PPV_Header!H$2:K$31,2,FALSE),"")</f>
        <v>0</v>
      </c>
      <c r="I43" s="106"/>
      <c r="J43" s="109" t="s">
        <v>338</v>
      </c>
      <c r="K43" s="110" t="s">
        <v>366</v>
      </c>
    </row>
    <row r="44" spans="1:11" ht="15" thickBot="1">
      <c r="A44" s="101">
        <v>44</v>
      </c>
      <c r="B44" t="s">
        <v>274</v>
      </c>
      <c r="C44" s="102">
        <f t="shared" si="1"/>
        <v>44</v>
      </c>
      <c r="D44" s="106" t="s">
        <v>367</v>
      </c>
      <c r="E44" s="101" t="str">
        <f>_xlfn.IFNA(VLOOKUP(B44,PPV_Header!H$2:K$31,2,FALSE),"")</f>
        <v>0.85V</v>
      </c>
      <c r="I44" s="106"/>
      <c r="J44" s="109" t="s">
        <v>336</v>
      </c>
      <c r="K44" s="110" t="s">
        <v>208</v>
      </c>
    </row>
    <row r="45" spans="1:11" ht="15" thickBot="1">
      <c r="A45" s="101">
        <v>45</v>
      </c>
      <c r="B45" t="s">
        <v>275</v>
      </c>
      <c r="C45" s="102">
        <f t="shared" si="1"/>
        <v>45</v>
      </c>
      <c r="D45" s="104"/>
      <c r="E45" s="101" t="str">
        <f>_xlfn.IFNA(VLOOKUP(B45,PPV_Header!H$2:K$31,2,FALSE),"")</f>
        <v/>
      </c>
      <c r="I45" s="115"/>
      <c r="J45" s="116" t="s">
        <v>337</v>
      </c>
      <c r="K45" s="110" t="s">
        <v>215</v>
      </c>
    </row>
    <row r="46" spans="1:11" ht="15" thickBot="1">
      <c r="A46" s="101">
        <v>46</v>
      </c>
      <c r="B46" t="s">
        <v>276</v>
      </c>
      <c r="C46" s="102">
        <f t="shared" si="1"/>
        <v>46</v>
      </c>
      <c r="D46" s="104" t="s">
        <v>368</v>
      </c>
      <c r="E46" s="101" t="str">
        <f>_xlfn.IFNA(VLOOKUP(B46,PPV_Header!H$2:K$31,2,FALSE),"")</f>
        <v>1.8V</v>
      </c>
      <c r="I46" s="115"/>
      <c r="J46" s="116" t="s">
        <v>355</v>
      </c>
      <c r="K46" s="110" t="s">
        <v>215</v>
      </c>
    </row>
    <row r="47" spans="1:11">
      <c r="A47" s="101">
        <v>47</v>
      </c>
      <c r="B47" t="s">
        <v>277</v>
      </c>
      <c r="C47" s="102">
        <f t="shared" si="1"/>
        <v>47</v>
      </c>
      <c r="D47" s="104"/>
      <c r="E47" s="101" t="str">
        <f>_xlfn.IFNA(VLOOKUP(B47,PPV_Header!H$2:K$31,2,FALSE),"")</f>
        <v/>
      </c>
    </row>
    <row r="48" spans="1:11">
      <c r="A48" s="101">
        <v>48</v>
      </c>
      <c r="B48" t="s">
        <v>278</v>
      </c>
      <c r="C48" s="102">
        <f t="shared" si="1"/>
        <v>48</v>
      </c>
      <c r="D48" s="104" t="s">
        <v>369</v>
      </c>
      <c r="E48" s="101" t="str">
        <f>_xlfn.IFNA(VLOOKUP(B48,PPV_Header!H$2:K$31,2,FALSE),"")</f>
        <v>1.8V</v>
      </c>
    </row>
    <row r="49" spans="1:5">
      <c r="A49" s="101">
        <v>49</v>
      </c>
      <c r="B49" t="s">
        <v>279</v>
      </c>
      <c r="C49" s="102">
        <f t="shared" si="1"/>
        <v>49</v>
      </c>
      <c r="D49" s="104"/>
      <c r="E49" s="101" t="str">
        <f>_xlfn.IFNA(VLOOKUP(B49,PPV_Header!H$2:K$31,2,FALSE),"")</f>
        <v/>
      </c>
    </row>
    <row r="50" spans="1:5">
      <c r="A50" s="101">
        <v>50</v>
      </c>
      <c r="B50" t="s">
        <v>225</v>
      </c>
      <c r="C50" s="102">
        <f t="shared" si="1"/>
        <v>50</v>
      </c>
      <c r="D50" s="104" t="s">
        <v>225</v>
      </c>
      <c r="E50" s="101">
        <f>_xlfn.IFNA(VLOOKUP(B50,PPV_Header!H$2:K$31,2,FALSE),"")</f>
        <v>0</v>
      </c>
    </row>
    <row r="51" spans="1:5">
      <c r="A51" s="101">
        <v>51</v>
      </c>
      <c r="B51" t="s">
        <v>280</v>
      </c>
      <c r="C51" s="117"/>
      <c r="D51" s="104"/>
      <c r="E51" s="101" t="str">
        <f>_xlfn.IFNA(VLOOKUP(B51,PPV_Header!H$2:K$31,2,FALSE),"")</f>
        <v/>
      </c>
    </row>
    <row r="52" spans="1:5">
      <c r="A52" s="101">
        <v>52</v>
      </c>
      <c r="B52" t="s">
        <v>281</v>
      </c>
      <c r="C52" s="118"/>
      <c r="D52" s="103"/>
      <c r="E52" s="101">
        <f>_xlfn.IFNA(VLOOKUP(B52,PPV_Header!H$2:K$31,2,FALSE),"")</f>
        <v>0</v>
      </c>
    </row>
    <row r="53" spans="1:5">
      <c r="A53" s="101">
        <v>53</v>
      </c>
      <c r="B53" t="s">
        <v>283</v>
      </c>
      <c r="C53" s="118"/>
      <c r="D53" s="103"/>
      <c r="E53" s="101" t="str">
        <f>_xlfn.IFNA(VLOOKUP(B53,PPV_Header!H$2:K$31,2,FALSE),"")</f>
        <v/>
      </c>
    </row>
    <row r="54" spans="1:5">
      <c r="A54" s="101">
        <v>54</v>
      </c>
      <c r="B54" t="s">
        <v>284</v>
      </c>
      <c r="C54" s="118"/>
      <c r="D54" s="103"/>
      <c r="E54" s="101">
        <f>_xlfn.IFNA(VLOOKUP(B54,PPV_Header!H$2:K$31,2,FALSE),"")</f>
        <v>0</v>
      </c>
    </row>
    <row r="55" spans="1:5">
      <c r="A55" s="101">
        <v>55</v>
      </c>
      <c r="B55" t="s">
        <v>286</v>
      </c>
      <c r="C55" s="118"/>
      <c r="D55" s="103"/>
      <c r="E55" s="101" t="str">
        <f>_xlfn.IFNA(VLOOKUP(B55,PPV_Header!H$2:K$31,2,FALSE),"")</f>
        <v/>
      </c>
    </row>
    <row r="56" spans="1:5">
      <c r="A56" s="101">
        <v>56</v>
      </c>
      <c r="B56" t="s">
        <v>287</v>
      </c>
      <c r="C56" s="102"/>
      <c r="D56" s="105"/>
      <c r="E56" s="101">
        <f>_xlfn.IFNA(VLOOKUP(B56,PPV_Header!H$2:K$31,2,FALSE),"")</f>
        <v>0</v>
      </c>
    </row>
    <row r="57" spans="1:5">
      <c r="A57" s="101">
        <v>57</v>
      </c>
      <c r="B57" t="s">
        <v>289</v>
      </c>
      <c r="C57" s="118"/>
      <c r="D57" s="103"/>
      <c r="E57" s="101" t="str">
        <f>_xlfn.IFNA(VLOOKUP(B57,PPV_Header!H$2:K$31,2,FALSE),"")</f>
        <v/>
      </c>
    </row>
    <row r="58" spans="1:5">
      <c r="A58" s="101">
        <v>58</v>
      </c>
      <c r="B58" t="s">
        <v>290</v>
      </c>
      <c r="C58" s="118"/>
      <c r="D58" s="103"/>
      <c r="E58" s="101">
        <f>_xlfn.IFNA(VLOOKUP(B58,PPV_Header!H$2:K$31,2,FALSE),"")</f>
        <v>0</v>
      </c>
    </row>
    <row r="59" spans="1:5">
      <c r="A59" s="101">
        <v>59</v>
      </c>
      <c r="B59" t="s">
        <v>292</v>
      </c>
      <c r="C59" s="118"/>
      <c r="D59" s="103"/>
      <c r="E59" s="101" t="str">
        <f>_xlfn.IFNA(VLOOKUP(B59,PPV_Header!H$2:K$31,2,FALSE),"")</f>
        <v/>
      </c>
    </row>
    <row r="60" spans="1:5">
      <c r="A60" s="101">
        <v>60</v>
      </c>
      <c r="B60" t="s">
        <v>370</v>
      </c>
      <c r="C60" s="102"/>
      <c r="D60" s="105"/>
      <c r="E60" s="101" t="str">
        <f>_xlfn.IFNA(VLOOKUP(B60,PPV_Header!H$2:K$31,2,FALSE),"")</f>
        <v/>
      </c>
    </row>
    <row r="61" spans="1:5">
      <c r="A61" s="101"/>
      <c r="B61" t="s">
        <v>225</v>
      </c>
      <c r="C61" s="117"/>
      <c r="D61" s="104"/>
      <c r="E61" s="101"/>
    </row>
    <row r="62" spans="1:5">
      <c r="A62" s="101"/>
      <c r="B62" t="s">
        <v>225</v>
      </c>
      <c r="C62" s="117"/>
      <c r="D62" s="104"/>
      <c r="E62" s="101"/>
    </row>
    <row r="63" spans="1:5">
      <c r="A63" s="101"/>
      <c r="B63" t="s">
        <v>225</v>
      </c>
      <c r="C63" s="117"/>
      <c r="D63" s="104"/>
      <c r="E63" s="101"/>
    </row>
    <row r="64" spans="1:5">
      <c r="A64" s="101"/>
      <c r="B64" t="s">
        <v>225</v>
      </c>
      <c r="C64" s="117"/>
      <c r="D64" s="104"/>
      <c r="E64" s="101"/>
    </row>
    <row r="65" spans="1:5">
      <c r="A65" s="101"/>
      <c r="C65" s="117"/>
      <c r="D65" s="104"/>
      <c r="E65" s="101"/>
    </row>
    <row r="66" spans="1:5">
      <c r="A66" s="101"/>
      <c r="C66" s="117"/>
      <c r="D66" s="104"/>
      <c r="E66" s="101"/>
    </row>
    <row r="67" spans="1:5">
      <c r="A67" s="101"/>
      <c r="C67" s="117"/>
      <c r="D67" s="104"/>
      <c r="E67" s="101"/>
    </row>
    <row r="68" spans="1:5">
      <c r="A68" s="101"/>
      <c r="C68" s="117"/>
      <c r="D68" s="104"/>
      <c r="E68" s="101"/>
    </row>
    <row r="69" spans="1:5">
      <c r="A69" s="101"/>
      <c r="C69" s="117"/>
      <c r="D69" s="104"/>
      <c r="E69" s="101"/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1B41A-AD6F-4978-8632-375E68BF2A69}">
  <dimension ref="A1:C100"/>
  <sheetViews>
    <sheetView topLeftCell="A70" workbookViewId="0">
      <selection activeCell="G14" sqref="G14"/>
    </sheetView>
  </sheetViews>
  <sheetFormatPr defaultRowHeight="13.2"/>
  <cols>
    <col min="1" max="1" width="8.88671875" style="101"/>
    <col min="2" max="2" width="31.21875" bestFit="1" customWidth="1"/>
  </cols>
  <sheetData>
    <row r="1" spans="1:3" ht="14.4">
      <c r="A1" s="84">
        <v>1</v>
      </c>
      <c r="B1" s="81" t="s">
        <v>371</v>
      </c>
      <c r="C1" s="81"/>
    </row>
    <row r="2" spans="1:3" ht="14.4">
      <c r="A2" s="84">
        <v>2</v>
      </c>
      <c r="B2" s="81" t="s">
        <v>165</v>
      </c>
      <c r="C2" s="81"/>
    </row>
    <row r="3" spans="1:3" ht="14.4">
      <c r="A3" s="84">
        <v>3</v>
      </c>
      <c r="B3" s="81" t="s">
        <v>372</v>
      </c>
      <c r="C3" s="81"/>
    </row>
    <row r="4" spans="1:3" ht="14.4">
      <c r="A4" s="84">
        <v>4</v>
      </c>
      <c r="B4" s="81" t="s">
        <v>166</v>
      </c>
      <c r="C4" s="81"/>
    </row>
    <row r="5" spans="1:3" ht="14.4">
      <c r="A5" s="84">
        <v>5</v>
      </c>
      <c r="B5" s="81" t="s">
        <v>305</v>
      </c>
      <c r="C5" s="81"/>
    </row>
    <row r="6" spans="1:3" ht="14.4">
      <c r="A6" s="84">
        <v>6</v>
      </c>
      <c r="B6" s="81" t="s">
        <v>373</v>
      </c>
      <c r="C6" s="81"/>
    </row>
    <row r="7" spans="1:3" ht="14.4">
      <c r="A7" s="84">
        <v>7</v>
      </c>
      <c r="B7" s="81" t="s">
        <v>306</v>
      </c>
      <c r="C7" s="81"/>
    </row>
    <row r="8" spans="1:3" ht="14.4">
      <c r="A8" s="84">
        <v>8</v>
      </c>
      <c r="B8" s="81" t="s">
        <v>167</v>
      </c>
      <c r="C8" s="81"/>
    </row>
    <row r="9" spans="1:3" ht="14.4">
      <c r="A9" s="84">
        <v>9</v>
      </c>
      <c r="B9" s="81" t="s">
        <v>307</v>
      </c>
      <c r="C9" s="81"/>
    </row>
    <row r="10" spans="1:3" ht="14.4">
      <c r="A10" s="84">
        <v>10</v>
      </c>
      <c r="B10" s="81" t="s">
        <v>168</v>
      </c>
      <c r="C10" s="81"/>
    </row>
    <row r="11" spans="1:3" ht="14.4">
      <c r="A11" s="84">
        <v>11</v>
      </c>
      <c r="B11" s="81" t="s">
        <v>308</v>
      </c>
      <c r="C11" s="81"/>
    </row>
    <row r="12" spans="1:3" ht="14.4">
      <c r="A12" s="84">
        <v>12</v>
      </c>
      <c r="B12" s="81" t="s">
        <v>225</v>
      </c>
      <c r="C12" s="81"/>
    </row>
    <row r="13" spans="1:3" ht="14.4">
      <c r="A13" s="84">
        <v>13</v>
      </c>
      <c r="B13" s="81" t="s">
        <v>309</v>
      </c>
      <c r="C13" s="81"/>
    </row>
    <row r="14" spans="1:3" ht="14.4">
      <c r="A14" s="84">
        <v>14</v>
      </c>
      <c r="B14" s="81" t="s">
        <v>169</v>
      </c>
      <c r="C14" s="81"/>
    </row>
    <row r="15" spans="1:3" ht="14.4">
      <c r="A15" s="84">
        <v>15</v>
      </c>
      <c r="B15" s="81" t="s">
        <v>310</v>
      </c>
      <c r="C15" s="81"/>
    </row>
    <row r="16" spans="1:3" ht="14.4">
      <c r="A16" s="84">
        <v>16</v>
      </c>
      <c r="B16" s="81" t="s">
        <v>170</v>
      </c>
      <c r="C16" s="81"/>
    </row>
    <row r="17" spans="1:3" ht="14.4">
      <c r="A17" s="84">
        <v>17</v>
      </c>
      <c r="B17" s="81" t="s">
        <v>225</v>
      </c>
      <c r="C17" s="81"/>
    </row>
    <row r="18" spans="1:3" ht="14.4">
      <c r="A18" s="84">
        <v>18</v>
      </c>
      <c r="B18" s="81" t="s">
        <v>225</v>
      </c>
      <c r="C18" s="81"/>
    </row>
    <row r="19" spans="1:3" ht="14.4">
      <c r="A19" s="84">
        <v>19</v>
      </c>
      <c r="B19" s="81" t="s">
        <v>311</v>
      </c>
      <c r="C19" s="81"/>
    </row>
    <row r="20" spans="1:3" ht="14.4">
      <c r="A20" s="84">
        <v>20</v>
      </c>
      <c r="B20" s="81" t="s">
        <v>171</v>
      </c>
      <c r="C20" s="81"/>
    </row>
    <row r="21" spans="1:3" ht="14.4">
      <c r="A21" s="84">
        <v>21</v>
      </c>
      <c r="B21" s="81" t="s">
        <v>312</v>
      </c>
      <c r="C21" s="81"/>
    </row>
    <row r="22" spans="1:3" ht="14.4">
      <c r="A22" s="84">
        <v>22</v>
      </c>
      <c r="B22" s="81" t="s">
        <v>172</v>
      </c>
      <c r="C22" s="81"/>
    </row>
    <row r="23" spans="1:3" ht="14.4">
      <c r="A23" s="84">
        <v>23</v>
      </c>
      <c r="B23" s="81" t="s">
        <v>313</v>
      </c>
      <c r="C23" s="81"/>
    </row>
    <row r="24" spans="1:3" ht="14.4">
      <c r="A24" s="84">
        <v>24</v>
      </c>
      <c r="B24" s="81" t="s">
        <v>374</v>
      </c>
      <c r="C24" s="81"/>
    </row>
    <row r="25" spans="1:3" ht="14.4">
      <c r="A25" s="84">
        <v>25</v>
      </c>
      <c r="B25" s="81" t="s">
        <v>314</v>
      </c>
      <c r="C25" s="81"/>
    </row>
    <row r="26" spans="1:3" ht="14.4">
      <c r="A26" s="84">
        <v>26</v>
      </c>
      <c r="B26" s="81" t="s">
        <v>375</v>
      </c>
      <c r="C26" s="81"/>
    </row>
    <row r="27" spans="1:3" ht="14.4">
      <c r="A27" s="84">
        <v>27</v>
      </c>
      <c r="B27" s="81" t="s">
        <v>376</v>
      </c>
      <c r="C27" s="81"/>
    </row>
    <row r="28" spans="1:3" ht="14.4">
      <c r="A28" s="84">
        <v>28</v>
      </c>
      <c r="B28" s="81" t="s">
        <v>377</v>
      </c>
      <c r="C28" s="81"/>
    </row>
    <row r="29" spans="1:3" ht="14.4">
      <c r="A29" s="84">
        <v>29</v>
      </c>
      <c r="B29" s="81" t="s">
        <v>378</v>
      </c>
      <c r="C29" s="81"/>
    </row>
    <row r="30" spans="1:3" ht="14.4">
      <c r="A30" s="84">
        <v>30</v>
      </c>
      <c r="B30" s="81" t="s">
        <v>379</v>
      </c>
      <c r="C30" s="81"/>
    </row>
    <row r="31" spans="1:3" ht="14.4">
      <c r="A31" s="84">
        <v>31</v>
      </c>
      <c r="B31" s="81" t="s">
        <v>380</v>
      </c>
      <c r="C31" s="81"/>
    </row>
    <row r="32" spans="1:3" ht="14.4">
      <c r="A32" s="84">
        <v>32</v>
      </c>
      <c r="B32" s="81" t="s">
        <v>225</v>
      </c>
      <c r="C32" s="81"/>
    </row>
    <row r="33" spans="1:3" ht="14.4">
      <c r="A33" s="84">
        <v>33</v>
      </c>
      <c r="B33" s="81" t="s">
        <v>381</v>
      </c>
      <c r="C33" s="81"/>
    </row>
    <row r="34" spans="1:3" ht="14.4">
      <c r="A34" s="84">
        <v>34</v>
      </c>
      <c r="B34" s="81" t="s">
        <v>225</v>
      </c>
      <c r="C34" s="81"/>
    </row>
    <row r="35" spans="1:3" ht="14.4">
      <c r="A35" s="84">
        <v>35</v>
      </c>
      <c r="B35" s="81" t="s">
        <v>225</v>
      </c>
      <c r="C35" s="81"/>
    </row>
    <row r="36" spans="1:3" ht="14.4">
      <c r="A36" s="84">
        <v>36</v>
      </c>
      <c r="B36" s="81" t="s">
        <v>225</v>
      </c>
      <c r="C36" s="81"/>
    </row>
    <row r="37" spans="1:3" ht="14.4">
      <c r="A37" s="84">
        <v>37</v>
      </c>
      <c r="B37" s="81" t="s">
        <v>382</v>
      </c>
      <c r="C37" s="81"/>
    </row>
    <row r="38" spans="1:3" ht="14.4">
      <c r="A38" s="84">
        <v>38</v>
      </c>
      <c r="B38" s="81" t="s">
        <v>318</v>
      </c>
      <c r="C38" s="81"/>
    </row>
    <row r="39" spans="1:3" ht="14.4">
      <c r="A39" s="84">
        <v>39</v>
      </c>
      <c r="B39" s="81" t="s">
        <v>383</v>
      </c>
      <c r="C39" s="81"/>
    </row>
    <row r="40" spans="1:3" ht="14.4">
      <c r="A40" s="84">
        <v>40</v>
      </c>
      <c r="B40" s="81" t="s">
        <v>319</v>
      </c>
      <c r="C40" s="81"/>
    </row>
    <row r="41" spans="1:3" ht="14.4">
      <c r="A41" s="84">
        <v>41</v>
      </c>
      <c r="B41" s="81" t="s">
        <v>384</v>
      </c>
      <c r="C41" s="81"/>
    </row>
    <row r="42" spans="1:3" ht="14.4">
      <c r="A42" s="84">
        <v>42</v>
      </c>
      <c r="B42" s="81" t="s">
        <v>225</v>
      </c>
      <c r="C42" s="81"/>
    </row>
    <row r="43" spans="1:3" ht="14.4">
      <c r="A43" s="84">
        <v>43</v>
      </c>
      <c r="B43" s="81" t="s">
        <v>385</v>
      </c>
      <c r="C43" s="81"/>
    </row>
    <row r="44" spans="1:3" ht="14.4">
      <c r="A44" s="84">
        <v>44</v>
      </c>
      <c r="B44" s="81" t="s">
        <v>320</v>
      </c>
      <c r="C44" s="81"/>
    </row>
    <row r="45" spans="1:3" ht="14.4">
      <c r="A45" s="84">
        <v>45</v>
      </c>
      <c r="B45" s="81" t="s">
        <v>225</v>
      </c>
      <c r="C45" s="81"/>
    </row>
    <row r="46" spans="1:3" ht="14.4">
      <c r="A46" s="84">
        <v>46</v>
      </c>
      <c r="B46" s="81" t="s">
        <v>321</v>
      </c>
      <c r="C46" s="81"/>
    </row>
    <row r="47" spans="1:3" ht="14.4">
      <c r="A47" s="84">
        <v>47</v>
      </c>
      <c r="B47" s="81" t="s">
        <v>322</v>
      </c>
      <c r="C47" s="81"/>
    </row>
    <row r="48" spans="1:3" ht="14.4">
      <c r="A48" s="84">
        <v>48</v>
      </c>
      <c r="B48" s="81" t="s">
        <v>225</v>
      </c>
      <c r="C48" s="81"/>
    </row>
    <row r="49" spans="1:3" ht="14.4">
      <c r="A49" s="84">
        <v>49</v>
      </c>
      <c r="B49" s="81" t="s">
        <v>323</v>
      </c>
      <c r="C49" s="81"/>
    </row>
    <row r="50" spans="1:3" ht="14.4">
      <c r="A50" s="84">
        <v>50</v>
      </c>
      <c r="B50" s="81" t="s">
        <v>386</v>
      </c>
      <c r="C50" s="81"/>
    </row>
    <row r="51" spans="1:3" ht="14.4">
      <c r="A51" s="84">
        <v>51</v>
      </c>
      <c r="B51" s="81" t="s">
        <v>325</v>
      </c>
      <c r="C51" s="81"/>
    </row>
    <row r="52" spans="1:3" ht="14.4">
      <c r="A52" s="84">
        <v>52</v>
      </c>
      <c r="B52" s="81" t="s">
        <v>387</v>
      </c>
      <c r="C52" s="81"/>
    </row>
    <row r="53" spans="1:3" ht="14.4">
      <c r="A53" s="84">
        <v>53</v>
      </c>
      <c r="B53" s="81" t="s">
        <v>324</v>
      </c>
      <c r="C53" s="81"/>
    </row>
    <row r="54" spans="1:3" ht="14.4">
      <c r="A54" s="84">
        <v>54</v>
      </c>
      <c r="B54" s="81" t="s">
        <v>225</v>
      </c>
      <c r="C54" s="81"/>
    </row>
    <row r="55" spans="1:3" ht="14.4">
      <c r="A55" s="84">
        <v>55</v>
      </c>
      <c r="B55" s="81" t="s">
        <v>225</v>
      </c>
      <c r="C55" s="81"/>
    </row>
    <row r="56" spans="1:3" ht="14.4">
      <c r="A56" s="84">
        <v>56</v>
      </c>
      <c r="B56" s="81" t="s">
        <v>388</v>
      </c>
      <c r="C56" s="81"/>
    </row>
    <row r="57" spans="1:3" ht="14.4">
      <c r="A57" s="84">
        <v>57</v>
      </c>
      <c r="B57" s="81" t="s">
        <v>389</v>
      </c>
      <c r="C57" s="81"/>
    </row>
    <row r="58" spans="1:3" ht="14.4">
      <c r="A58" s="84">
        <v>58</v>
      </c>
      <c r="B58" s="81" t="s">
        <v>390</v>
      </c>
      <c r="C58" s="81"/>
    </row>
    <row r="59" spans="1:3" ht="14.4">
      <c r="A59" s="84">
        <v>59</v>
      </c>
      <c r="B59" s="81" t="s">
        <v>391</v>
      </c>
      <c r="C59" s="81"/>
    </row>
    <row r="60" spans="1:3" ht="14.4">
      <c r="A60" s="84">
        <v>60</v>
      </c>
      <c r="B60" s="81" t="s">
        <v>225</v>
      </c>
      <c r="C60" s="81"/>
    </row>
    <row r="61" spans="1:3" ht="14.4">
      <c r="A61" s="84">
        <v>61</v>
      </c>
      <c r="B61" s="81" t="s">
        <v>225</v>
      </c>
      <c r="C61" s="81"/>
    </row>
    <row r="62" spans="1:3" ht="14.4">
      <c r="A62" s="84">
        <v>62</v>
      </c>
      <c r="B62" s="81" t="s">
        <v>392</v>
      </c>
      <c r="C62" s="81"/>
    </row>
    <row r="63" spans="1:3" ht="14.4">
      <c r="A63" s="84">
        <v>63</v>
      </c>
      <c r="B63" s="81" t="s">
        <v>393</v>
      </c>
      <c r="C63" s="81"/>
    </row>
    <row r="64" spans="1:3" ht="14.4">
      <c r="A64" s="84">
        <v>64</v>
      </c>
      <c r="B64" s="81" t="s">
        <v>394</v>
      </c>
      <c r="C64" s="81"/>
    </row>
    <row r="65" spans="1:3" ht="14.4">
      <c r="A65" s="84">
        <v>65</v>
      </c>
      <c r="B65" s="81" t="s">
        <v>395</v>
      </c>
      <c r="C65" s="81"/>
    </row>
    <row r="66" spans="1:3" ht="14.4">
      <c r="A66" s="84">
        <v>66</v>
      </c>
      <c r="B66" s="81" t="s">
        <v>225</v>
      </c>
      <c r="C66" s="81"/>
    </row>
    <row r="67" spans="1:3" ht="14.4">
      <c r="A67" s="84">
        <v>67</v>
      </c>
      <c r="B67" s="81" t="s">
        <v>225</v>
      </c>
      <c r="C67" s="81"/>
    </row>
    <row r="68" spans="1:3" ht="14.4">
      <c r="A68" s="84">
        <v>68</v>
      </c>
      <c r="B68" s="81" t="s">
        <v>396</v>
      </c>
      <c r="C68" s="81"/>
    </row>
    <row r="69" spans="1:3" ht="14.4">
      <c r="A69" s="84">
        <v>69</v>
      </c>
      <c r="B69" s="81" t="s">
        <v>397</v>
      </c>
      <c r="C69" s="81"/>
    </row>
    <row r="70" spans="1:3" ht="14.4">
      <c r="A70" s="84">
        <v>70</v>
      </c>
      <c r="B70" s="81" t="s">
        <v>398</v>
      </c>
      <c r="C70" s="81"/>
    </row>
    <row r="71" spans="1:3" ht="14.4">
      <c r="A71" s="84">
        <v>71</v>
      </c>
      <c r="B71" s="81" t="s">
        <v>399</v>
      </c>
      <c r="C71" s="81"/>
    </row>
    <row r="72" spans="1:3" ht="14.4">
      <c r="A72" s="84">
        <v>72</v>
      </c>
      <c r="B72" s="81" t="s">
        <v>225</v>
      </c>
      <c r="C72" s="81"/>
    </row>
    <row r="73" spans="1:3" ht="14.4">
      <c r="A73" s="84">
        <v>73</v>
      </c>
      <c r="B73" s="81" t="s">
        <v>225</v>
      </c>
      <c r="C73" s="81"/>
    </row>
    <row r="74" spans="1:3" ht="14.4">
      <c r="A74" s="84">
        <v>74</v>
      </c>
      <c r="B74" s="81" t="s">
        <v>400</v>
      </c>
      <c r="C74" s="81"/>
    </row>
    <row r="75" spans="1:3" ht="14.4">
      <c r="A75" s="84">
        <v>75</v>
      </c>
      <c r="B75" s="81" t="s">
        <v>401</v>
      </c>
      <c r="C75" s="81"/>
    </row>
    <row r="76" spans="1:3" ht="14.4">
      <c r="A76" s="84">
        <v>76</v>
      </c>
      <c r="B76" s="81" t="s">
        <v>402</v>
      </c>
      <c r="C76" s="81"/>
    </row>
    <row r="77" spans="1:3" ht="14.4">
      <c r="A77" s="84">
        <v>77</v>
      </c>
      <c r="B77" s="81" t="s">
        <v>403</v>
      </c>
      <c r="C77" s="81"/>
    </row>
    <row r="78" spans="1:3" ht="14.4">
      <c r="A78" s="84">
        <v>78</v>
      </c>
      <c r="B78" s="81" t="s">
        <v>404</v>
      </c>
      <c r="C78" s="81"/>
    </row>
    <row r="79" spans="1:3" ht="14.4">
      <c r="A79" s="84">
        <v>79</v>
      </c>
      <c r="B79" s="81" t="s">
        <v>225</v>
      </c>
      <c r="C79" s="81"/>
    </row>
    <row r="80" spans="1:3" ht="14.4">
      <c r="A80" s="84">
        <v>80</v>
      </c>
      <c r="B80" s="81" t="s">
        <v>405</v>
      </c>
      <c r="C80" s="81"/>
    </row>
    <row r="81" spans="1:3" ht="14.4">
      <c r="A81" s="84">
        <v>81</v>
      </c>
      <c r="B81" s="81" t="s">
        <v>406</v>
      </c>
      <c r="C81" s="81"/>
    </row>
    <row r="82" spans="1:3" ht="14.4">
      <c r="A82" s="84">
        <v>82</v>
      </c>
      <c r="B82" s="81" t="s">
        <v>407</v>
      </c>
      <c r="C82" s="81"/>
    </row>
    <row r="83" spans="1:3" ht="14.4">
      <c r="A83" s="84">
        <v>83</v>
      </c>
      <c r="B83" s="81" t="s">
        <v>408</v>
      </c>
      <c r="C83" s="81"/>
    </row>
    <row r="84" spans="1:3" ht="14.4">
      <c r="A84" s="84">
        <v>84</v>
      </c>
      <c r="B84" s="81" t="s">
        <v>225</v>
      </c>
      <c r="C84" s="81"/>
    </row>
    <row r="85" spans="1:3" ht="14.4">
      <c r="A85" s="84">
        <v>85</v>
      </c>
      <c r="B85" s="81" t="s">
        <v>225</v>
      </c>
      <c r="C85" s="81"/>
    </row>
    <row r="86" spans="1:3" ht="14.4">
      <c r="A86" s="84">
        <v>86</v>
      </c>
      <c r="B86" s="81" t="s">
        <v>409</v>
      </c>
      <c r="C86" s="81"/>
    </row>
    <row r="87" spans="1:3" ht="14.4">
      <c r="A87" s="84">
        <v>87</v>
      </c>
      <c r="B87" s="81" t="s">
        <v>410</v>
      </c>
      <c r="C87" s="81"/>
    </row>
    <row r="88" spans="1:3" ht="14.4">
      <c r="A88" s="84">
        <v>88</v>
      </c>
      <c r="B88" s="81" t="s">
        <v>411</v>
      </c>
      <c r="C88" s="81"/>
    </row>
    <row r="89" spans="1:3" ht="14.4">
      <c r="A89" s="84">
        <v>89</v>
      </c>
      <c r="B89" s="81" t="s">
        <v>412</v>
      </c>
      <c r="C89" s="81"/>
    </row>
    <row r="90" spans="1:3" ht="14.4">
      <c r="A90" s="84">
        <v>90</v>
      </c>
      <c r="B90" s="81" t="s">
        <v>225</v>
      </c>
      <c r="C90" s="81"/>
    </row>
    <row r="91" spans="1:3" ht="14.4">
      <c r="A91" s="84">
        <v>91</v>
      </c>
      <c r="B91" s="81" t="s">
        <v>225</v>
      </c>
      <c r="C91" s="81"/>
    </row>
    <row r="92" spans="1:3" ht="14.4">
      <c r="A92" s="84">
        <v>92</v>
      </c>
      <c r="B92" s="81" t="s">
        <v>413</v>
      </c>
      <c r="C92" s="81"/>
    </row>
    <row r="93" spans="1:3" ht="14.4">
      <c r="A93" s="84">
        <v>93</v>
      </c>
      <c r="B93" s="81" t="s">
        <v>414</v>
      </c>
      <c r="C93" s="81"/>
    </row>
    <row r="94" spans="1:3" ht="14.4">
      <c r="A94" s="84">
        <v>94</v>
      </c>
      <c r="B94" s="81" t="s">
        <v>413</v>
      </c>
      <c r="C94" s="81"/>
    </row>
    <row r="95" spans="1:3" ht="14.4">
      <c r="A95" s="84">
        <v>95</v>
      </c>
      <c r="B95" s="81" t="s">
        <v>415</v>
      </c>
      <c r="C95" s="81"/>
    </row>
    <row r="96" spans="1:3" ht="14.4">
      <c r="A96" s="84">
        <v>96</v>
      </c>
      <c r="B96" s="81" t="s">
        <v>225</v>
      </c>
      <c r="C96" s="81"/>
    </row>
    <row r="97" spans="1:3" ht="14.4">
      <c r="A97" s="84">
        <v>97</v>
      </c>
      <c r="B97" s="81" t="s">
        <v>416</v>
      </c>
      <c r="C97" s="81"/>
    </row>
    <row r="98" spans="1:3" ht="14.4">
      <c r="A98" s="84">
        <v>98</v>
      </c>
      <c r="B98" s="81" t="s">
        <v>417</v>
      </c>
      <c r="C98" s="81"/>
    </row>
    <row r="99" spans="1:3" ht="14.4">
      <c r="A99" s="84">
        <v>99</v>
      </c>
      <c r="B99" s="81" t="s">
        <v>418</v>
      </c>
      <c r="C99" s="81"/>
    </row>
    <row r="100" spans="1:3" ht="14.4">
      <c r="A100" s="84">
        <v>100</v>
      </c>
      <c r="B100" s="81" t="s">
        <v>417</v>
      </c>
      <c r="C100" s="81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B5C61-856F-468A-9B0A-2B8C647DA2F8}">
  <dimension ref="A1:C128"/>
  <sheetViews>
    <sheetView topLeftCell="A49" workbookViewId="0">
      <selection activeCell="F66" sqref="F66"/>
    </sheetView>
  </sheetViews>
  <sheetFormatPr defaultRowHeight="13.2"/>
  <cols>
    <col min="1" max="1" width="8.88671875" style="101"/>
    <col min="2" max="2" width="29.5546875" customWidth="1"/>
  </cols>
  <sheetData>
    <row r="1" spans="1:3" ht="14.4">
      <c r="A1" s="84">
        <v>1</v>
      </c>
      <c r="B1" s="81" t="s">
        <v>225</v>
      </c>
      <c r="C1" s="81"/>
    </row>
    <row r="2" spans="1:3" ht="14.4">
      <c r="A2" s="84">
        <v>2</v>
      </c>
      <c r="B2" s="81" t="s">
        <v>157</v>
      </c>
      <c r="C2" s="81"/>
    </row>
    <row r="3" spans="1:3" ht="14.4">
      <c r="A3" s="84">
        <v>3</v>
      </c>
      <c r="B3" s="81" t="s">
        <v>419</v>
      </c>
      <c r="C3" s="81"/>
    </row>
    <row r="4" spans="1:3" ht="14.4">
      <c r="A4" s="84">
        <v>4</v>
      </c>
      <c r="B4" s="81" t="s">
        <v>158</v>
      </c>
      <c r="C4" s="81"/>
    </row>
    <row r="5" spans="1:3" ht="14.4">
      <c r="A5" s="84">
        <v>5</v>
      </c>
      <c r="B5" s="81" t="s">
        <v>420</v>
      </c>
      <c r="C5" s="81"/>
    </row>
    <row r="6" spans="1:3" ht="14.4">
      <c r="A6" s="84">
        <v>6</v>
      </c>
      <c r="B6" s="81" t="s">
        <v>421</v>
      </c>
      <c r="C6" s="81"/>
    </row>
    <row r="7" spans="1:3" ht="14.4">
      <c r="A7" s="84">
        <v>7</v>
      </c>
      <c r="B7" s="81" t="s">
        <v>225</v>
      </c>
      <c r="C7" s="81"/>
    </row>
    <row r="8" spans="1:3" ht="14.4">
      <c r="A8" s="84">
        <v>8</v>
      </c>
      <c r="B8" s="81" t="s">
        <v>159</v>
      </c>
      <c r="C8" s="81"/>
    </row>
    <row r="9" spans="1:3" ht="14.4">
      <c r="A9" s="84">
        <v>9</v>
      </c>
      <c r="B9" s="81" t="s">
        <v>422</v>
      </c>
      <c r="C9" s="81"/>
    </row>
    <row r="10" spans="1:3" ht="14.4">
      <c r="A10" s="84">
        <v>10</v>
      </c>
      <c r="B10" s="81" t="s">
        <v>160</v>
      </c>
      <c r="C10" s="81"/>
    </row>
    <row r="11" spans="1:3" ht="14.4">
      <c r="A11" s="84">
        <v>11</v>
      </c>
      <c r="B11" s="81" t="s">
        <v>225</v>
      </c>
      <c r="C11" s="81"/>
    </row>
    <row r="12" spans="1:3" ht="14.4">
      <c r="A12" s="84">
        <v>12</v>
      </c>
      <c r="B12" s="81" t="s">
        <v>225</v>
      </c>
      <c r="C12" s="81"/>
    </row>
    <row r="13" spans="1:3" ht="14.4">
      <c r="A13" s="84">
        <v>13</v>
      </c>
      <c r="B13" s="81" t="s">
        <v>423</v>
      </c>
      <c r="C13" s="81"/>
    </row>
    <row r="14" spans="1:3" ht="14.4">
      <c r="A14" s="84">
        <v>14</v>
      </c>
      <c r="B14" s="81" t="s">
        <v>161</v>
      </c>
      <c r="C14" s="81"/>
    </row>
    <row r="15" spans="1:3" ht="14.4">
      <c r="A15" s="84">
        <v>15</v>
      </c>
      <c r="B15" s="81" t="s">
        <v>424</v>
      </c>
      <c r="C15" s="81"/>
    </row>
    <row r="16" spans="1:3" ht="14.4">
      <c r="A16" s="84">
        <v>16</v>
      </c>
      <c r="B16" s="81" t="s">
        <v>162</v>
      </c>
      <c r="C16" s="81"/>
    </row>
    <row r="17" spans="1:3" ht="14.4">
      <c r="A17" s="84">
        <v>17</v>
      </c>
      <c r="B17" s="81" t="s">
        <v>425</v>
      </c>
      <c r="C17" s="81"/>
    </row>
    <row r="18" spans="1:3" ht="14.4">
      <c r="A18" s="84">
        <v>18</v>
      </c>
      <c r="B18" s="81" t="s">
        <v>225</v>
      </c>
      <c r="C18" s="81"/>
    </row>
    <row r="19" spans="1:3" ht="14.4">
      <c r="A19" s="84">
        <v>19</v>
      </c>
      <c r="B19" s="81" t="s">
        <v>426</v>
      </c>
      <c r="C19" s="81"/>
    </row>
    <row r="20" spans="1:3" ht="14.4">
      <c r="A20" s="84">
        <v>20</v>
      </c>
      <c r="B20" s="81" t="s">
        <v>163</v>
      </c>
      <c r="C20" s="81"/>
    </row>
    <row r="21" spans="1:3" ht="14.4">
      <c r="A21" s="84">
        <v>21</v>
      </c>
      <c r="B21" s="81" t="s">
        <v>427</v>
      </c>
      <c r="C21" s="81"/>
    </row>
    <row r="22" spans="1:3" ht="14.4">
      <c r="A22" s="84">
        <v>22</v>
      </c>
      <c r="B22" s="81" t="s">
        <v>164</v>
      </c>
      <c r="C22" s="81"/>
    </row>
    <row r="23" spans="1:3" ht="14.4">
      <c r="A23" s="84">
        <v>23</v>
      </c>
      <c r="B23" s="81" t="s">
        <v>428</v>
      </c>
      <c r="C23" s="81"/>
    </row>
    <row r="24" spans="1:3" ht="14.4">
      <c r="A24" s="84">
        <v>24</v>
      </c>
      <c r="B24" s="81" t="s">
        <v>225</v>
      </c>
      <c r="C24" s="81"/>
    </row>
    <row r="25" spans="1:3" ht="14.4">
      <c r="A25" s="84">
        <v>25</v>
      </c>
      <c r="B25" s="81" t="s">
        <v>225</v>
      </c>
      <c r="C25" s="81"/>
    </row>
    <row r="26" spans="1:3" ht="14.4">
      <c r="A26" s="84">
        <v>26</v>
      </c>
      <c r="B26" s="81" t="s">
        <v>316</v>
      </c>
      <c r="C26" s="81"/>
    </row>
    <row r="27" spans="1:3" ht="14.4">
      <c r="A27" s="84">
        <v>27</v>
      </c>
      <c r="B27" s="81" t="s">
        <v>429</v>
      </c>
      <c r="C27" s="81"/>
    </row>
    <row r="28" spans="1:3" ht="14.4">
      <c r="A28" s="84">
        <v>28</v>
      </c>
      <c r="B28" s="81" t="s">
        <v>317</v>
      </c>
      <c r="C28" s="81"/>
    </row>
    <row r="29" spans="1:3" ht="14.4">
      <c r="A29" s="84">
        <v>29</v>
      </c>
      <c r="B29" s="81" t="s">
        <v>430</v>
      </c>
      <c r="C29" s="81"/>
    </row>
    <row r="30" spans="1:3" ht="14.4">
      <c r="A30" s="84">
        <v>30</v>
      </c>
      <c r="B30" s="81" t="s">
        <v>225</v>
      </c>
      <c r="C30" s="81"/>
    </row>
    <row r="31" spans="1:3" ht="14.4">
      <c r="A31" s="84">
        <v>31</v>
      </c>
      <c r="B31" s="81" t="s">
        <v>431</v>
      </c>
      <c r="C31" s="81"/>
    </row>
    <row r="32" spans="1:3" ht="14.4">
      <c r="A32" s="84">
        <v>32</v>
      </c>
      <c r="B32" s="81" t="s">
        <v>432</v>
      </c>
      <c r="C32" s="81"/>
    </row>
    <row r="33" spans="1:3" ht="14.4">
      <c r="A33" s="84">
        <v>33</v>
      </c>
      <c r="B33" s="81" t="s">
        <v>433</v>
      </c>
      <c r="C33" s="81"/>
    </row>
    <row r="34" spans="1:3" ht="14.4">
      <c r="A34" s="84">
        <v>34</v>
      </c>
      <c r="B34" s="81" t="s">
        <v>434</v>
      </c>
      <c r="C34" s="81"/>
    </row>
    <row r="35" spans="1:3" ht="14.4">
      <c r="A35" s="84">
        <v>35</v>
      </c>
      <c r="B35" s="81" t="s">
        <v>435</v>
      </c>
      <c r="C35" s="81"/>
    </row>
    <row r="36" spans="1:3" ht="14.4">
      <c r="A36" s="84">
        <v>36</v>
      </c>
      <c r="B36" s="81" t="s">
        <v>436</v>
      </c>
      <c r="C36" s="81"/>
    </row>
    <row r="37" spans="1:3" ht="14.4">
      <c r="A37" s="84">
        <v>37</v>
      </c>
      <c r="B37" s="81" t="s">
        <v>437</v>
      </c>
      <c r="C37" s="81"/>
    </row>
    <row r="38" spans="1:3" ht="14.4">
      <c r="A38" s="84">
        <v>38</v>
      </c>
      <c r="B38" s="81" t="s">
        <v>438</v>
      </c>
      <c r="C38" s="81"/>
    </row>
    <row r="39" spans="1:3" ht="14.4">
      <c r="A39" s="84">
        <v>39</v>
      </c>
      <c r="B39" s="81" t="s">
        <v>439</v>
      </c>
      <c r="C39" s="81"/>
    </row>
    <row r="40" spans="1:3" ht="14.4">
      <c r="A40" s="84">
        <v>40</v>
      </c>
      <c r="B40" s="81" t="s">
        <v>440</v>
      </c>
      <c r="C40" s="81"/>
    </row>
    <row r="41" spans="1:3" ht="14.4">
      <c r="A41" s="84">
        <v>41</v>
      </c>
      <c r="B41" s="81" t="s">
        <v>441</v>
      </c>
      <c r="C41" s="81"/>
    </row>
    <row r="42" spans="1:3" ht="14.4">
      <c r="A42" s="84">
        <v>42</v>
      </c>
      <c r="B42" s="81" t="s">
        <v>225</v>
      </c>
      <c r="C42" s="81"/>
    </row>
    <row r="43" spans="1:3" ht="14.4">
      <c r="A43" s="84">
        <v>43</v>
      </c>
      <c r="B43" s="81" t="s">
        <v>225</v>
      </c>
      <c r="C43" s="81"/>
    </row>
    <row r="44" spans="1:3" ht="14.4">
      <c r="A44" s="84">
        <v>44</v>
      </c>
      <c r="B44" s="81" t="s">
        <v>326</v>
      </c>
      <c r="C44" s="81"/>
    </row>
    <row r="45" spans="1:3" ht="14.4">
      <c r="A45" s="84">
        <v>45</v>
      </c>
      <c r="B45" s="81" t="s">
        <v>442</v>
      </c>
      <c r="C45" s="81"/>
    </row>
    <row r="46" spans="1:3" ht="14.4">
      <c r="A46" s="84">
        <v>46</v>
      </c>
      <c r="B46" s="81" t="s">
        <v>328</v>
      </c>
      <c r="C46" s="81"/>
    </row>
    <row r="47" spans="1:3" ht="14.4">
      <c r="A47" s="84">
        <v>47</v>
      </c>
      <c r="B47" s="81" t="s">
        <v>225</v>
      </c>
      <c r="C47" s="81"/>
    </row>
    <row r="48" spans="1:3" ht="14.4">
      <c r="A48" s="84">
        <v>48</v>
      </c>
      <c r="B48" s="81" t="s">
        <v>330</v>
      </c>
      <c r="C48" s="81"/>
    </row>
    <row r="49" spans="1:3" ht="14.4">
      <c r="A49" s="84">
        <v>49</v>
      </c>
      <c r="B49" s="81" t="s">
        <v>302</v>
      </c>
      <c r="C49" s="81"/>
    </row>
    <row r="50" spans="1:3" ht="14.4">
      <c r="A50" s="84">
        <v>50</v>
      </c>
      <c r="B50" s="81" t="s">
        <v>332</v>
      </c>
      <c r="C50" s="81"/>
    </row>
    <row r="51" spans="1:3" ht="14.4">
      <c r="A51" s="84">
        <v>51</v>
      </c>
      <c r="B51" s="81" t="s">
        <v>304</v>
      </c>
      <c r="C51" s="81"/>
    </row>
    <row r="52" spans="1:3" ht="14.4">
      <c r="A52" s="84">
        <v>52</v>
      </c>
      <c r="B52" s="81" t="s">
        <v>327</v>
      </c>
      <c r="C52" s="81"/>
    </row>
    <row r="53" spans="1:3" ht="14.4">
      <c r="A53" s="84">
        <v>53</v>
      </c>
      <c r="B53" s="81" t="s">
        <v>443</v>
      </c>
      <c r="C53" s="81"/>
    </row>
    <row r="54" spans="1:3" ht="14.4">
      <c r="A54" s="84">
        <v>54</v>
      </c>
      <c r="B54" s="81" t="s">
        <v>329</v>
      </c>
      <c r="C54" s="81"/>
    </row>
    <row r="55" spans="1:3" ht="14.4">
      <c r="A55" s="84">
        <v>55</v>
      </c>
      <c r="B55" s="81" t="s">
        <v>444</v>
      </c>
      <c r="C55" s="81"/>
    </row>
    <row r="56" spans="1:3" ht="14.4">
      <c r="A56" s="84">
        <v>56</v>
      </c>
      <c r="B56" s="81" t="s">
        <v>331</v>
      </c>
      <c r="C56" s="81"/>
    </row>
    <row r="57" spans="1:3" ht="14.4">
      <c r="A57" s="84">
        <v>57</v>
      </c>
      <c r="B57" s="81" t="s">
        <v>225</v>
      </c>
      <c r="C57" s="81"/>
    </row>
    <row r="58" spans="1:3" ht="14.4">
      <c r="A58" s="84">
        <v>58</v>
      </c>
      <c r="B58" s="81" t="s">
        <v>333</v>
      </c>
      <c r="C58" s="81"/>
    </row>
    <row r="59" spans="1:3" ht="14.4">
      <c r="A59" s="84">
        <v>59</v>
      </c>
      <c r="B59" s="81" t="s">
        <v>445</v>
      </c>
      <c r="C59" s="81"/>
    </row>
    <row r="60" spans="1:3" ht="14.4">
      <c r="A60" s="84">
        <v>60</v>
      </c>
      <c r="B60" s="81" t="s">
        <v>446</v>
      </c>
      <c r="C60" s="81"/>
    </row>
    <row r="61" spans="1:3" ht="14.4">
      <c r="A61" s="84">
        <v>61</v>
      </c>
      <c r="B61" s="81" t="s">
        <v>447</v>
      </c>
      <c r="C61" s="81"/>
    </row>
    <row r="62" spans="1:3" ht="14.4">
      <c r="A62" s="84">
        <v>62</v>
      </c>
      <c r="B62" s="81" t="s">
        <v>225</v>
      </c>
      <c r="C62" s="81"/>
    </row>
    <row r="63" spans="1:3" ht="14.4">
      <c r="A63" s="84">
        <v>63</v>
      </c>
      <c r="B63" s="81" t="s">
        <v>448</v>
      </c>
      <c r="C63" s="81"/>
    </row>
    <row r="64" spans="1:3" ht="14.4">
      <c r="A64" s="84">
        <v>64</v>
      </c>
      <c r="B64" s="81" t="s">
        <v>449</v>
      </c>
      <c r="C64" s="81"/>
    </row>
    <row r="65" spans="1:3" ht="14.4">
      <c r="A65" s="84">
        <v>65</v>
      </c>
      <c r="B65" s="81" t="s">
        <v>450</v>
      </c>
      <c r="C65" s="81"/>
    </row>
    <row r="66" spans="1:3" ht="14.4">
      <c r="A66" s="84">
        <v>66</v>
      </c>
      <c r="B66" s="81" t="s">
        <v>225</v>
      </c>
      <c r="C66" s="81"/>
    </row>
    <row r="67" spans="1:3" ht="14.4">
      <c r="A67" s="84">
        <v>67</v>
      </c>
      <c r="B67" s="81" t="s">
        <v>225</v>
      </c>
      <c r="C67" s="81"/>
    </row>
    <row r="68" spans="1:3" ht="14.4">
      <c r="A68" s="84">
        <v>68</v>
      </c>
      <c r="B68" s="81" t="s">
        <v>451</v>
      </c>
      <c r="C68" s="81"/>
    </row>
    <row r="69" spans="1:3" ht="14.4">
      <c r="A69" s="84">
        <v>69</v>
      </c>
      <c r="B69" s="81" t="s">
        <v>149</v>
      </c>
      <c r="C69" s="81"/>
    </row>
    <row r="70" spans="1:3" ht="14.4">
      <c r="A70" s="84">
        <v>70</v>
      </c>
      <c r="B70" s="81" t="s">
        <v>225</v>
      </c>
      <c r="C70" s="81"/>
    </row>
    <row r="71" spans="1:3" ht="14.4">
      <c r="A71" s="84">
        <v>71</v>
      </c>
      <c r="B71" s="81" t="s">
        <v>150</v>
      </c>
      <c r="C71" s="81"/>
    </row>
    <row r="72" spans="1:3" ht="14.4">
      <c r="A72" s="84">
        <v>72</v>
      </c>
      <c r="B72" s="81" t="s">
        <v>452</v>
      </c>
      <c r="C72" s="81"/>
    </row>
    <row r="73" spans="1:3" ht="14.4">
      <c r="A73" s="84">
        <v>73</v>
      </c>
      <c r="B73" s="81" t="s">
        <v>225</v>
      </c>
      <c r="C73" s="81"/>
    </row>
    <row r="74" spans="1:3" ht="14.4">
      <c r="A74" s="84">
        <v>74</v>
      </c>
      <c r="B74" s="81" t="s">
        <v>225</v>
      </c>
      <c r="C74" s="81"/>
    </row>
    <row r="75" spans="1:3" ht="14.4">
      <c r="A75" s="84">
        <v>75</v>
      </c>
      <c r="B75" s="81" t="s">
        <v>151</v>
      </c>
      <c r="C75" s="81"/>
    </row>
    <row r="76" spans="1:3" ht="14.4">
      <c r="A76" s="84">
        <v>76</v>
      </c>
      <c r="B76" s="81" t="s">
        <v>453</v>
      </c>
      <c r="C76" s="81"/>
    </row>
    <row r="77" spans="1:3" ht="14.4">
      <c r="A77" s="84">
        <v>77</v>
      </c>
      <c r="B77" s="81" t="s">
        <v>152</v>
      </c>
      <c r="C77" s="81"/>
    </row>
    <row r="78" spans="1:3" ht="14.4">
      <c r="A78" s="84">
        <v>78</v>
      </c>
      <c r="B78" s="81" t="s">
        <v>454</v>
      </c>
      <c r="C78" s="81"/>
    </row>
    <row r="79" spans="1:3" ht="14.4">
      <c r="A79" s="84">
        <v>79</v>
      </c>
      <c r="B79" s="81" t="s">
        <v>225</v>
      </c>
      <c r="C79" s="81"/>
    </row>
    <row r="80" spans="1:3" ht="14.4">
      <c r="A80" s="84">
        <v>80</v>
      </c>
      <c r="B80" s="81" t="s">
        <v>455</v>
      </c>
      <c r="C80" s="81"/>
    </row>
    <row r="81" spans="1:3" ht="14.4">
      <c r="A81" s="84">
        <v>81</v>
      </c>
      <c r="B81" s="81" t="s">
        <v>153</v>
      </c>
      <c r="C81" s="81"/>
    </row>
    <row r="82" spans="1:3" ht="14.4">
      <c r="A82" s="84">
        <v>82</v>
      </c>
      <c r="B82" s="81" t="s">
        <v>456</v>
      </c>
      <c r="C82" s="81"/>
    </row>
    <row r="83" spans="1:3" ht="14.4">
      <c r="A83" s="84">
        <v>83</v>
      </c>
      <c r="B83" s="81" t="s">
        <v>154</v>
      </c>
      <c r="C83" s="81"/>
    </row>
    <row r="84" spans="1:3" ht="14.4">
      <c r="A84" s="84">
        <v>84</v>
      </c>
      <c r="B84" s="81" t="s">
        <v>225</v>
      </c>
      <c r="C84" s="81"/>
    </row>
    <row r="85" spans="1:3" ht="14.4">
      <c r="A85" s="84">
        <v>85</v>
      </c>
      <c r="B85" s="81" t="s">
        <v>225</v>
      </c>
      <c r="C85" s="81"/>
    </row>
    <row r="86" spans="1:3" ht="14.4">
      <c r="A86" s="84">
        <v>86</v>
      </c>
      <c r="B86" s="81" t="s">
        <v>457</v>
      </c>
      <c r="C86" s="81"/>
    </row>
    <row r="87" spans="1:3" ht="14.4">
      <c r="A87" s="84">
        <v>87</v>
      </c>
      <c r="B87" s="81" t="s">
        <v>155</v>
      </c>
      <c r="C87" s="81"/>
    </row>
    <row r="88" spans="1:3" ht="14.4">
      <c r="A88" s="84">
        <v>88</v>
      </c>
      <c r="B88" s="81" t="s">
        <v>225</v>
      </c>
      <c r="C88" s="81"/>
    </row>
    <row r="89" spans="1:3" ht="14.4">
      <c r="A89" s="84">
        <v>89</v>
      </c>
      <c r="B89" s="81" t="s">
        <v>156</v>
      </c>
      <c r="C89" s="81"/>
    </row>
    <row r="90" spans="1:3" ht="14.4">
      <c r="A90" s="84">
        <v>90</v>
      </c>
      <c r="B90" s="81" t="s">
        <v>458</v>
      </c>
      <c r="C90" s="81"/>
    </row>
    <row r="91" spans="1:3" ht="14.4">
      <c r="A91" s="84">
        <v>91</v>
      </c>
      <c r="B91" s="81" t="s">
        <v>225</v>
      </c>
      <c r="C91" s="81"/>
    </row>
    <row r="92" spans="1:3" ht="14.4">
      <c r="A92" s="84">
        <v>92</v>
      </c>
      <c r="B92" s="81" t="s">
        <v>225</v>
      </c>
      <c r="C92" s="81"/>
    </row>
    <row r="93" spans="1:3" ht="14.4">
      <c r="A93" s="84">
        <v>93</v>
      </c>
      <c r="B93" s="81" t="s">
        <v>459</v>
      </c>
      <c r="C93" s="81"/>
    </row>
    <row r="94" spans="1:3" ht="14.4">
      <c r="A94" s="84">
        <v>94</v>
      </c>
      <c r="B94" s="81" t="s">
        <v>460</v>
      </c>
      <c r="C94" s="81"/>
    </row>
    <row r="95" spans="1:3" ht="14.4">
      <c r="A95" s="84">
        <v>95</v>
      </c>
      <c r="B95" s="81" t="s">
        <v>461</v>
      </c>
      <c r="C95" s="81"/>
    </row>
    <row r="96" spans="1:3" ht="14.4">
      <c r="A96" s="84">
        <v>96</v>
      </c>
      <c r="B96" s="81" t="s">
        <v>225</v>
      </c>
      <c r="C96" s="81"/>
    </row>
    <row r="97" spans="1:3" ht="14.4">
      <c r="A97" s="84">
        <v>97</v>
      </c>
      <c r="B97" s="81" t="s">
        <v>225</v>
      </c>
      <c r="C97" s="81"/>
    </row>
    <row r="98" spans="1:3" ht="14.4">
      <c r="A98" s="84">
        <v>98</v>
      </c>
      <c r="B98" s="81" t="s">
        <v>462</v>
      </c>
      <c r="C98" s="81"/>
    </row>
    <row r="99" spans="1:3" ht="14.4">
      <c r="A99" s="84">
        <v>99</v>
      </c>
      <c r="B99" s="81" t="s">
        <v>463</v>
      </c>
      <c r="C99" s="81"/>
    </row>
    <row r="100" spans="1:3" ht="14.4">
      <c r="A100" s="84">
        <v>100</v>
      </c>
      <c r="B100" s="81" t="s">
        <v>225</v>
      </c>
      <c r="C100" s="81"/>
    </row>
    <row r="101" spans="1:3" ht="14.4">
      <c r="A101" s="84">
        <v>101</v>
      </c>
      <c r="B101" s="81" t="s">
        <v>225</v>
      </c>
      <c r="C101" s="81"/>
    </row>
    <row r="102" spans="1:3" ht="14.4">
      <c r="A102" s="84">
        <v>102</v>
      </c>
      <c r="B102" s="81" t="s">
        <v>464</v>
      </c>
      <c r="C102" s="81"/>
    </row>
    <row r="103" spans="1:3" ht="14.4">
      <c r="A103" s="84">
        <v>103</v>
      </c>
      <c r="B103" s="81" t="s">
        <v>465</v>
      </c>
      <c r="C103" s="81"/>
    </row>
    <row r="104" spans="1:3" ht="14.4">
      <c r="A104" s="84">
        <v>104</v>
      </c>
      <c r="B104" s="81" t="s">
        <v>225</v>
      </c>
      <c r="C104" s="81"/>
    </row>
    <row r="105" spans="1:3" ht="14.4">
      <c r="A105" s="84">
        <v>105</v>
      </c>
      <c r="B105" s="81" t="s">
        <v>225</v>
      </c>
      <c r="C105" s="81"/>
    </row>
    <row r="106" spans="1:3" ht="14.4">
      <c r="A106" s="84">
        <v>106</v>
      </c>
      <c r="B106" s="81" t="s">
        <v>466</v>
      </c>
      <c r="C106" s="81"/>
    </row>
    <row r="107" spans="1:3" ht="14.4">
      <c r="A107" s="84">
        <v>107</v>
      </c>
      <c r="B107" s="81" t="s">
        <v>467</v>
      </c>
      <c r="C107" s="81"/>
    </row>
    <row r="108" spans="1:3" ht="14.4">
      <c r="A108" s="84">
        <v>108</v>
      </c>
      <c r="B108" s="81" t="s">
        <v>225</v>
      </c>
      <c r="C108" s="81"/>
    </row>
    <row r="109" spans="1:3" ht="14.4">
      <c r="A109" s="84">
        <v>109</v>
      </c>
      <c r="B109" s="81" t="s">
        <v>225</v>
      </c>
      <c r="C109" s="81"/>
    </row>
    <row r="110" spans="1:3" ht="14.4">
      <c r="A110" s="84">
        <v>110</v>
      </c>
      <c r="B110" s="81" t="s">
        <v>468</v>
      </c>
      <c r="C110" s="81"/>
    </row>
    <row r="111" spans="1:3" ht="14.4">
      <c r="A111" s="84">
        <v>111</v>
      </c>
      <c r="B111" s="81" t="s">
        <v>469</v>
      </c>
      <c r="C111" s="81"/>
    </row>
    <row r="112" spans="1:3" ht="14.4">
      <c r="A112" s="84">
        <v>112</v>
      </c>
      <c r="B112" s="81" t="s">
        <v>225</v>
      </c>
      <c r="C112" s="81"/>
    </row>
    <row r="113" spans="1:3" ht="14.4">
      <c r="A113" s="84">
        <v>113</v>
      </c>
      <c r="B113" s="81" t="s">
        <v>225</v>
      </c>
      <c r="C113" s="81"/>
    </row>
    <row r="114" spans="1:3" ht="14.4">
      <c r="A114" s="84">
        <v>114</v>
      </c>
      <c r="B114" s="81" t="s">
        <v>470</v>
      </c>
      <c r="C114" s="81"/>
    </row>
    <row r="115" spans="1:3" ht="14.4">
      <c r="A115" s="84">
        <v>115</v>
      </c>
      <c r="B115" s="81" t="s">
        <v>471</v>
      </c>
      <c r="C115" s="81"/>
    </row>
    <row r="116" spans="1:3" ht="14.4">
      <c r="A116" s="84">
        <v>116</v>
      </c>
      <c r="B116" s="81" t="s">
        <v>225</v>
      </c>
      <c r="C116" s="81"/>
    </row>
    <row r="117" spans="1:3" ht="14.4">
      <c r="A117" s="84">
        <v>117</v>
      </c>
      <c r="B117" s="81" t="s">
        <v>472</v>
      </c>
      <c r="C117" s="81"/>
    </row>
    <row r="118" spans="1:3" ht="14.4">
      <c r="A118" s="84">
        <v>118</v>
      </c>
      <c r="B118" s="81" t="s">
        <v>473</v>
      </c>
      <c r="C118" s="81"/>
    </row>
    <row r="119" spans="1:3" ht="14.4">
      <c r="A119" s="84">
        <v>119</v>
      </c>
      <c r="B119" s="81" t="s">
        <v>474</v>
      </c>
      <c r="C119" s="81"/>
    </row>
    <row r="120" spans="1:3" ht="14.4">
      <c r="A120" s="84">
        <v>120</v>
      </c>
      <c r="B120" s="81" t="s">
        <v>225</v>
      </c>
      <c r="C120" s="81"/>
    </row>
    <row r="121" spans="1:3" ht="14.4">
      <c r="A121" s="84"/>
      <c r="B121" s="81"/>
      <c r="C121" s="81"/>
    </row>
    <row r="122" spans="1:3" ht="14.4">
      <c r="A122" s="84"/>
      <c r="B122" s="81"/>
      <c r="C122" s="81"/>
    </row>
    <row r="123" spans="1:3" ht="14.4">
      <c r="A123" s="84"/>
      <c r="B123" s="81"/>
      <c r="C123" s="81"/>
    </row>
    <row r="124" spans="1:3" ht="14.4">
      <c r="A124" s="84"/>
      <c r="B124" s="81"/>
      <c r="C124" s="81"/>
    </row>
    <row r="125" spans="1:3" ht="14.4">
      <c r="A125" s="84"/>
      <c r="B125" s="81"/>
      <c r="C125" s="81"/>
    </row>
    <row r="126" spans="1:3" ht="14.4">
      <c r="A126" s="84"/>
      <c r="B126" s="81"/>
      <c r="C126" s="81"/>
    </row>
    <row r="127" spans="1:3" ht="14.4">
      <c r="A127" s="84"/>
      <c r="B127" s="81"/>
      <c r="C127" s="81"/>
    </row>
    <row r="128" spans="1:3" ht="14.4">
      <c r="A128" s="84"/>
      <c r="B128" s="81"/>
      <c r="C128" s="81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41"/>
  <sheetViews>
    <sheetView workbookViewId="0">
      <selection activeCell="E20" sqref="E20"/>
    </sheetView>
  </sheetViews>
  <sheetFormatPr defaultColWidth="9.109375" defaultRowHeight="13.2"/>
  <cols>
    <col min="1" max="1" width="5.88671875" style="1" customWidth="1"/>
    <col min="2" max="2" width="96.6640625" style="1" customWidth="1"/>
    <col min="3" max="16384" width="9.109375" style="1"/>
  </cols>
  <sheetData>
    <row r="1" spans="1:2" ht="15.6">
      <c r="A1" s="173" t="s">
        <v>17</v>
      </c>
      <c r="B1" s="173"/>
    </row>
    <row r="2" spans="1:2" ht="26.4">
      <c r="B2" s="2" t="s">
        <v>18</v>
      </c>
    </row>
    <row r="4" spans="1:2">
      <c r="A4" s="174" t="s">
        <v>22</v>
      </c>
      <c r="B4" s="174"/>
    </row>
    <row r="5" spans="1:2" ht="92.4">
      <c r="B5" s="3" t="s">
        <v>23</v>
      </c>
    </row>
    <row r="6" spans="1:2">
      <c r="B6" s="3"/>
    </row>
    <row r="7" spans="1:2">
      <c r="A7" s="174" t="s">
        <v>19</v>
      </c>
      <c r="B7" s="174"/>
    </row>
    <row r="8" spans="1:2">
      <c r="B8" s="1" t="s">
        <v>25</v>
      </c>
    </row>
    <row r="9" spans="1:2">
      <c r="B9" s="1" t="s">
        <v>24</v>
      </c>
    </row>
    <row r="11" spans="1:2">
      <c r="A11" s="174" t="s">
        <v>20</v>
      </c>
      <c r="B11" s="174"/>
    </row>
    <row r="12" spans="1:2" ht="26.4">
      <c r="B12" s="1" t="s">
        <v>21</v>
      </c>
    </row>
    <row r="14" spans="1:2">
      <c r="A14" s="174" t="s">
        <v>31</v>
      </c>
      <c r="B14" s="174"/>
    </row>
    <row r="15" spans="1:2" ht="26.4">
      <c r="B15" s="14" t="s">
        <v>43</v>
      </c>
    </row>
    <row r="16" spans="1:2" ht="26.4">
      <c r="B16" s="14" t="s">
        <v>47</v>
      </c>
    </row>
    <row r="17" spans="1:2">
      <c r="B17" s="14" t="s">
        <v>44</v>
      </c>
    </row>
    <row r="18" spans="1:2">
      <c r="B18" s="14" t="s">
        <v>45</v>
      </c>
    </row>
    <row r="19" spans="1:2">
      <c r="B19" s="14" t="s">
        <v>36</v>
      </c>
    </row>
    <row r="20" spans="1:2" ht="26.4">
      <c r="B20" s="3" t="s">
        <v>32</v>
      </c>
    </row>
    <row r="21" spans="1:2">
      <c r="B21" s="3" t="s">
        <v>33</v>
      </c>
    </row>
    <row r="22" spans="1:2">
      <c r="B22" s="14" t="s">
        <v>46</v>
      </c>
    </row>
    <row r="23" spans="1:2">
      <c r="B23" s="3" t="s">
        <v>34</v>
      </c>
    </row>
    <row r="26" spans="1:2" ht="15.6">
      <c r="A26" s="173" t="s">
        <v>26</v>
      </c>
      <c r="B26" s="173"/>
    </row>
    <row r="27" spans="1:2">
      <c r="A27" s="52">
        <v>0.5</v>
      </c>
      <c r="B27" s="1" t="s">
        <v>41</v>
      </c>
    </row>
    <row r="28" spans="1:2">
      <c r="A28" s="52">
        <v>0.6</v>
      </c>
      <c r="B28" s="4" t="s">
        <v>42</v>
      </c>
    </row>
    <row r="29" spans="1:2">
      <c r="A29" s="52">
        <v>0.7</v>
      </c>
      <c r="B29" s="1" t="s">
        <v>48</v>
      </c>
    </row>
    <row r="30" spans="1:2" ht="39.6">
      <c r="A30" s="52">
        <v>0.8</v>
      </c>
      <c r="B30" s="5" t="s">
        <v>53</v>
      </c>
    </row>
    <row r="31" spans="1:2" ht="39.6">
      <c r="A31" s="52">
        <v>0.9</v>
      </c>
      <c r="B31" s="5" t="s">
        <v>142</v>
      </c>
    </row>
    <row r="32" spans="1:2" ht="52.8">
      <c r="A32" s="52">
        <v>0.91</v>
      </c>
      <c r="B32" s="4" t="s">
        <v>145</v>
      </c>
    </row>
    <row r="33" spans="1:2">
      <c r="A33" s="52">
        <v>0.92</v>
      </c>
      <c r="B33" s="4" t="s">
        <v>173</v>
      </c>
    </row>
    <row r="34" spans="1:2" ht="52.8">
      <c r="A34" s="52">
        <v>0.93</v>
      </c>
      <c r="B34" s="57" t="s">
        <v>175</v>
      </c>
    </row>
    <row r="35" spans="1:2">
      <c r="A35" s="52">
        <v>0.94</v>
      </c>
      <c r="B35" s="4" t="s">
        <v>176</v>
      </c>
    </row>
    <row r="36" spans="1:2">
      <c r="A36" s="52">
        <v>0.95</v>
      </c>
      <c r="B36" s="4" t="s">
        <v>177</v>
      </c>
    </row>
    <row r="37" spans="1:2" ht="52.8">
      <c r="A37" s="56">
        <v>0.96</v>
      </c>
      <c r="B37" s="4" t="s">
        <v>178</v>
      </c>
    </row>
    <row r="38" spans="1:2">
      <c r="A38" s="52">
        <v>1</v>
      </c>
      <c r="B38" s="4" t="s">
        <v>180</v>
      </c>
    </row>
    <row r="39" spans="1:2">
      <c r="A39" s="52">
        <v>1.01</v>
      </c>
      <c r="B39" s="4" t="s">
        <v>183</v>
      </c>
    </row>
    <row r="40" spans="1:2">
      <c r="A40" s="1">
        <v>1.02</v>
      </c>
      <c r="B40" s="4" t="s">
        <v>184</v>
      </c>
    </row>
    <row r="41" spans="1:2">
      <c r="B41" s="4"/>
    </row>
  </sheetData>
  <mergeCells count="6">
    <mergeCell ref="A1:B1"/>
    <mergeCell ref="A26:B26"/>
    <mergeCell ref="A4:B4"/>
    <mergeCell ref="A7:B7"/>
    <mergeCell ref="A11:B11"/>
    <mergeCell ref="A14:B14"/>
  </mergeCells>
  <phoneticPr fontId="6" type="noConversion"/>
  <pageMargins left="0.75" right="0.75" top="1" bottom="1" header="0.5" footer="0.5"/>
  <pageSetup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Change_Log</vt:lpstr>
      <vt:lpstr>DIO</vt:lpstr>
      <vt:lpstr>DVM</vt:lpstr>
      <vt:lpstr>PPV_Header</vt:lpstr>
      <vt:lpstr>SQIB_QSH</vt:lpstr>
      <vt:lpstr>MB_QSH</vt:lpstr>
      <vt:lpstr>STDIO_J1B1_2x50</vt:lpstr>
      <vt:lpstr>STDIO_J1B2_2x60</vt:lpstr>
      <vt:lpstr>Help_RevInfo</vt:lpstr>
    </vt:vector>
  </TitlesOfParts>
  <Company>Intel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Kellsie Kriegelstein</dc:creator>
  <cp:keywords>CTPClassification=CTP_IC:VisualMarkings=, CTPClassification=CTP_IC</cp:keywords>
  <cp:lastModifiedBy>rsetyawa</cp:lastModifiedBy>
  <cp:lastPrinted>2016-02-09T22:26:11Z</cp:lastPrinted>
  <dcterms:created xsi:type="dcterms:W3CDTF">2009-02-18T20:00:07Z</dcterms:created>
  <dcterms:modified xsi:type="dcterms:W3CDTF">2020-11-18T20:03:09Z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0150aa29-7368-4cd1-9374-ba5bdc9bc6e1</vt:lpwstr>
  </property>
  <property fmtid="{D5CDD505-2E9C-101B-9397-08002B2CF9AE}" pid="3" name="CTP_BU">
    <vt:lpwstr>TECHNOLOGY MANUFACTURING GROUP</vt:lpwstr>
  </property>
  <property fmtid="{D5CDD505-2E9C-101B-9397-08002B2CF9AE}" pid="4" name="CTP_TimeStamp">
    <vt:lpwstr>2020-07-20 18:16:49Z</vt:lpwstr>
  </property>
  <property fmtid="{D5CDD505-2E9C-101B-9397-08002B2CF9AE}" pid="5" name="CTPClassification">
    <vt:lpwstr>CTP_IC</vt:lpwstr>
  </property>
  <property fmtid="{D5CDD505-2E9C-101B-9397-08002B2CF9AE}" pid="6" name="MSIP_Label_9aa06179-68b3-4e2b-b09b-a2424735516b_Enabled">
    <vt:lpwstr>True</vt:lpwstr>
  </property>
  <property fmtid="{D5CDD505-2E9C-101B-9397-08002B2CF9AE}" pid="7" name="MSIP_Label_9aa06179-68b3-4e2b-b09b-a2424735516b_SiteId">
    <vt:lpwstr>46c98d88-e344-4ed4-8496-4ed7712e255d</vt:lpwstr>
  </property>
  <property fmtid="{D5CDD505-2E9C-101B-9397-08002B2CF9AE}" pid="8" name="MSIP_Label_9aa06179-68b3-4e2b-b09b-a2424735516b_Owner">
    <vt:lpwstr>kellsie.kriegelstein@intel.com</vt:lpwstr>
  </property>
  <property fmtid="{D5CDD505-2E9C-101B-9397-08002B2CF9AE}" pid="9" name="MSIP_Label_9aa06179-68b3-4e2b-b09b-a2424735516b_SetDate">
    <vt:lpwstr>2020-09-24T18:49:59.2816960Z</vt:lpwstr>
  </property>
  <property fmtid="{D5CDD505-2E9C-101B-9397-08002B2CF9AE}" pid="10" name="MSIP_Label_9aa06179-68b3-4e2b-b09b-a2424735516b_Name">
    <vt:lpwstr>Intel Confidential</vt:lpwstr>
  </property>
  <property fmtid="{D5CDD505-2E9C-101B-9397-08002B2CF9AE}" pid="11" name="MSIP_Label_9aa06179-68b3-4e2b-b09b-a2424735516b_Application">
    <vt:lpwstr>Microsoft Azure Information Protection</vt:lpwstr>
  </property>
  <property fmtid="{D5CDD505-2E9C-101B-9397-08002B2CF9AE}" pid="12" name="MSIP_Label_9aa06179-68b3-4e2b-b09b-a2424735516b_ActionId">
    <vt:lpwstr>e3440bd2-d399-4541-a87b-1128246d9570</vt:lpwstr>
  </property>
  <property fmtid="{D5CDD505-2E9C-101B-9397-08002B2CF9AE}" pid="13" name="MSIP_Label_9aa06179-68b3-4e2b-b09b-a2424735516b_Extended_MSFT_Method">
    <vt:lpwstr>Automatic</vt:lpwstr>
  </property>
  <property fmtid="{D5CDD505-2E9C-101B-9397-08002B2CF9AE}" pid="14" name="Sensitivity">
    <vt:lpwstr>Intel Confidential</vt:lpwstr>
  </property>
</Properties>
</file>